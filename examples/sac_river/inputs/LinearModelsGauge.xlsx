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_Projects\SacTemp\SimTemp\ResTempPkg\example\river_example\inputs\"/>
    </mc:Choice>
  </mc:AlternateContent>
  <bookViews>
    <workbookView xWindow="0" yWindow="0" windowWidth="23040" windowHeight="7560"/>
  </bookViews>
  <sheets>
    <sheet name="LinearModelsGauge" sheetId="1" r:id="rId1"/>
  </sheets>
  <calcPr calcId="0"/>
  <pivotCaches>
    <pivotCache cacheId="6" r:id="rId2"/>
  </pivotCaches>
</workbook>
</file>

<file path=xl/calcChain.xml><?xml version="1.0" encoding="utf-8"?>
<calcChain xmlns="http://schemas.openxmlformats.org/spreadsheetml/2006/main">
  <c r="Y57" i="1" l="1"/>
  <c r="Y56" i="1"/>
  <c r="Y55" i="1"/>
  <c r="Y54" i="1"/>
  <c r="Y53" i="1"/>
  <c r="Y52" i="1"/>
  <c r="Y51" i="1"/>
  <c r="Y50" i="1"/>
  <c r="Y49" i="1"/>
  <c r="Y48" i="1"/>
  <c r="Y47" i="1"/>
  <c r="Y46" i="1"/>
  <c r="Y43" i="1"/>
  <c r="Y42" i="1"/>
  <c r="Y41" i="1"/>
  <c r="Y40" i="1"/>
  <c r="Y39" i="1"/>
  <c r="Y38" i="1"/>
  <c r="Y37" i="1"/>
  <c r="Y36" i="1"/>
  <c r="Y35" i="1"/>
  <c r="Y34" i="1"/>
  <c r="Y33" i="1"/>
  <c r="Y32" i="1"/>
  <c r="Y28" i="1"/>
  <c r="Y27" i="1"/>
  <c r="Y26" i="1"/>
  <c r="Y25" i="1"/>
  <c r="Y24" i="1"/>
  <c r="Y23" i="1"/>
  <c r="Y22" i="1"/>
  <c r="Y21" i="1"/>
  <c r="Y20" i="1"/>
  <c r="Y19" i="1"/>
  <c r="Y18" i="1"/>
  <c r="Y17" i="1"/>
  <c r="Y4" i="1"/>
  <c r="Y5" i="1"/>
  <c r="Y6" i="1"/>
  <c r="Y7" i="1"/>
  <c r="Y8" i="1"/>
  <c r="Y9" i="1"/>
  <c r="Y10" i="1"/>
  <c r="Y11" i="1"/>
  <c r="Y12" i="1"/>
  <c r="Y13" i="1"/>
  <c r="Y14" i="1"/>
  <c r="Y3" i="1"/>
  <c r="S3" i="1"/>
  <c r="R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</calcChain>
</file>

<file path=xl/sharedStrings.xml><?xml version="1.0" encoding="utf-8"?>
<sst xmlns="http://schemas.openxmlformats.org/spreadsheetml/2006/main" count="500" uniqueCount="30">
  <si>
    <t>Estimate</t>
  </si>
  <si>
    <t>SE</t>
  </si>
  <si>
    <t>tStat</t>
  </si>
  <si>
    <t>pValue</t>
  </si>
  <si>
    <t>LowCI</t>
  </si>
  <si>
    <t>HiCI</t>
  </si>
  <si>
    <t>Month</t>
  </si>
  <si>
    <t>Reach</t>
  </si>
  <si>
    <t>Jan</t>
  </si>
  <si>
    <t>CCR_KWK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</si>
  <si>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</si>
  <si>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</si>
  <si>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</si>
  <si>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</si>
  <si>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</si>
  <si>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</si>
  <si>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</si>
  <si>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</si>
  <si>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</si>
  <si>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</si>
  <si>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</si>
  <si>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1.18420805565776e-310</t>
  </si>
  <si>
    <t>CCR_BSF</t>
  </si>
  <si>
    <t>BSF_JLF</t>
  </si>
  <si>
    <t>JLF_BND</t>
  </si>
  <si>
    <t>BND_RDB</t>
  </si>
  <si>
    <t>intcpt</t>
  </si>
  <si>
    <t>x1</t>
  </si>
  <si>
    <t>Coeff</t>
  </si>
  <si>
    <t>Sum of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</si>
</sst>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gilbert" refreshedDate="44901.462105439816" createdVersion="6" refreshedVersion="6" minRefreshableVersion="3" recordCount="120">
  <cacheSource type="worksheet">
    <worksheetSource ref="A1:I121" sheet="LinearModelsGauge"/>
  </cacheSource>
  <cacheFields count="9">
    <cacheField name="Coeff" numFmtId="0">
      <sharedItems count="2">
        <s v="intcpt"/>
        <s v="x1"/>
      </sharedItems>
    </cacheField>
    <cacheField name="Estimate" numFmtId="0">
      <sharedItems containsSemiMixedTypes="0" containsString="0" containsNumber="1" minValue="-12.6603044932555" maxValue="10.218139023684399"/>
    </cacheField>
    <cacheField name="SE" numFmtId="0">
      <sharedItems containsSemiMixedTypes="0" containsString="0" containsNumber="1" minValue="4.7204170311181404E-3" maxValue="1.7935519957983199"/>
    </cacheField>
    <cacheField name="tStat" numFmtId="0">
      <sharedItems containsSemiMixedTypes="0" containsString="0" containsNumber="1" minValue="-12.952996743656801" maxValue="213.62838425883501"/>
    </cacheField>
    <cacheField name="pValue" numFmtId="0">
      <sharedItems containsMixedTypes="1" containsNumber="1" minValue="0" maxValue="0.95759417935108604"/>
    </cacheField>
    <cacheField name="LowCI" numFmtId="0">
      <sharedItems containsSemiMixedTypes="0" containsString="0" containsNumber="1" minValue="-14.5798914820165" maxValue="9.1808710418290005"/>
    </cacheField>
    <cacheField name="HiCI" numFmtId="0">
      <sharedItems containsSemiMixedTypes="0" containsString="0" containsNumber="1" minValue="-10.7407175044944" maxValue="11.255407005539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ach" numFmtId="0">
      <sharedItems count="5">
        <s v="CCR_KWK"/>
        <s v="CCR_BSF"/>
        <s v="BSF_JLF"/>
        <s v="JLF_BND"/>
        <s v="BND_RD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x v="0"/>
    <n v="4.2641488905354503"/>
    <n v="0.67626249903939395"/>
    <n v="6.3054640714109"/>
    <n v="5.4717953050564004E-10"/>
    <n v="2.9360978240627902"/>
    <n v="5.59219995700811"/>
    <x v="0"/>
    <x v="0"/>
  </r>
  <r>
    <x v="1"/>
    <n v="0.91177621584999302"/>
    <n v="1.3761319158647299E-2"/>
    <n v="66.2564544386032"/>
    <n v="5.7034777232685199E-283"/>
    <n v="0.88475159950549398"/>
    <n v="0.93880083219449295"/>
    <x v="0"/>
    <x v="0"/>
  </r>
  <r>
    <x v="0"/>
    <n v="6.6799407159959099"/>
    <n v="0.80191681527847603"/>
    <n v="8.3299671346537494"/>
    <n v="6.1868489893639199E-16"/>
    <n v="5.1048265099181798"/>
    <n v="8.2550549220736293"/>
    <x v="1"/>
    <x v="0"/>
  </r>
  <r>
    <x v="1"/>
    <n v="0.85176799756141997"/>
    <n v="1.6535799804932999E-2"/>
    <n v="51.510541226274199"/>
    <n v="3.2658468315758301E-215"/>
    <n v="0.81928860233566603"/>
    <n v="0.88424739278717301"/>
    <x v="1"/>
    <x v="0"/>
  </r>
  <r>
    <x v="0"/>
    <n v="10.218139023684399"/>
    <n v="0.52819161498524203"/>
    <n v="19.345515403476998"/>
    <n v="1.5014380212903099E-65"/>
    <n v="9.1808710418290005"/>
    <n v="11.2554070055398"/>
    <x v="2"/>
    <x v="0"/>
  </r>
  <r>
    <x v="1"/>
    <n v="0.77664658090389904"/>
    <n v="1.0678232182636501E-2"/>
    <n v="72.731756307638193"/>
    <n v="3.7375825117261898E-305"/>
    <n v="0.75567656163129804"/>
    <n v="0.79761660017649905"/>
    <x v="2"/>
    <x v="0"/>
  </r>
  <r>
    <x v="0"/>
    <n v="8.2127827211154596"/>
    <n v="0.63288678107723295"/>
    <n v="12.9767013100456"/>
    <n v="4.1906551903551101E-34"/>
    <n v="6.9698317536927297"/>
    <n v="9.4557336885381993"/>
    <x v="3"/>
    <x v="0"/>
  </r>
  <r>
    <x v="1"/>
    <n v="0.81832672069144496"/>
    <n v="1.2330890263691699E-2"/>
    <n v="66.363961011072206"/>
    <n v="5.3222710611711702E-278"/>
    <n v="0.79410960565492705"/>
    <n v="0.84254383572796399"/>
    <x v="3"/>
    <x v="0"/>
  </r>
  <r>
    <x v="0"/>
    <n v="3.53518852264905"/>
    <n v="0.52858697977015701"/>
    <n v="6.6879977334784799"/>
    <n v="5.0700148732717102E-11"/>
    <n v="2.4971441194705899"/>
    <n v="4.5732329258275"/>
    <x v="4"/>
    <x v="0"/>
  </r>
  <r>
    <x v="1"/>
    <n v="0.91159593331081901"/>
    <n v="1.01557179432199E-2"/>
    <n v="89.761840414188498"/>
    <n v="0"/>
    <n v="0.89165203273308902"/>
    <n v="0.931539833888549"/>
    <x v="4"/>
    <x v="0"/>
  </r>
  <r>
    <x v="0"/>
    <n v="4.3130871606526204"/>
    <n v="0.37436052748776799"/>
    <n v="11.521212424815699"/>
    <n v="7.2071581394870702E-28"/>
    <n v="3.5778609553852401"/>
    <n v="5.0483133659199897"/>
    <x v="5"/>
    <x v="0"/>
  </r>
  <r>
    <x v="1"/>
    <n v="0.89738997608779503"/>
    <n v="7.14391033527716E-3"/>
    <n v="125.61607494657601"/>
    <n v="0"/>
    <n v="0.88335967721567998"/>
    <n v="0.91142027495991096"/>
    <x v="5"/>
    <x v="0"/>
  </r>
  <r>
    <x v="0"/>
    <n v="2.9696752836604801"/>
    <n v="0.37955685830442798"/>
    <n v="7.8240590801776797"/>
    <n v="2.2335609583384101E-14"/>
    <n v="2.2242929764031398"/>
    <n v="3.7150575909178101"/>
    <x v="6"/>
    <x v="0"/>
  </r>
  <r>
    <x v="1"/>
    <n v="0.92422600552013801"/>
    <n v="7.14309997467121E-3"/>
    <n v="129.38724206539999"/>
    <n v="0"/>
    <n v="0.91019822490282698"/>
    <n v="0.93825378613744803"/>
    <x v="6"/>
    <x v="0"/>
  </r>
  <r>
    <x v="0"/>
    <n v="4.1223477266525403"/>
    <n v="0.411155045172929"/>
    <n v="10.026260835298"/>
    <n v="4.4497129082598202E-22"/>
    <n v="3.3149765565730802"/>
    <n v="4.9297188967319903"/>
    <x v="7"/>
    <x v="0"/>
  </r>
  <r>
    <x v="1"/>
    <n v="0.90127763802051197"/>
    <n v="7.6979170351704797E-3"/>
    <n v="117.080715978456"/>
    <n v="0"/>
    <n v="0.88616150030840801"/>
    <n v="0.91639377573261505"/>
    <x v="7"/>
    <x v="0"/>
  </r>
  <r>
    <x v="0"/>
    <n v="-0.67518541274399202"/>
    <n v="0.41366332049761401"/>
    <n v="-1.63221001062357"/>
    <n v="0.103136540855889"/>
    <n v="-1.4875162013966201"/>
    <n v="0.13714537590863499"/>
    <x v="8"/>
    <x v="0"/>
  </r>
  <r>
    <x v="1"/>
    <n v="0.99225748892677701"/>
    <n v="7.6653499368147301E-3"/>
    <n v="129.44712206304101"/>
    <n v="0"/>
    <n v="0.97720466830932295"/>
    <n v="1.00731030954423"/>
    <x v="8"/>
    <x v="0"/>
  </r>
  <r>
    <x v="0"/>
    <n v="-2.6729906333214402"/>
    <n v="0.40894865260994301"/>
    <n v="-6.5362500066015699"/>
    <n v="1.2769477628546299E-10"/>
    <n v="-3.4760128265567798"/>
    <n v="-1.8699684400861101"/>
    <x v="9"/>
    <x v="0"/>
  </r>
  <r>
    <x v="1"/>
    <n v="1.0389586573060701"/>
    <n v="7.4804087329728699E-3"/>
    <n v="138.89062675498599"/>
    <n v="0"/>
    <n v="1.0242699324778799"/>
    <n v="1.05364738213427"/>
    <x v="9"/>
    <x v="0"/>
  </r>
  <r>
    <x v="0"/>
    <n v="-2.5617517187387799E-2"/>
    <n v="0.48158575963475497"/>
    <n v="-5.3194091965710698E-2"/>
    <n v="0.95759417935108604"/>
    <n v="-0.97133090424180601"/>
    <n v="0.92009586986702996"/>
    <x v="10"/>
    <x v="0"/>
  </r>
  <r>
    <x v="1"/>
    <n v="1.0023218039634401"/>
    <n v="8.8890761378821806E-3"/>
    <n v="112.75882762348"/>
    <n v="0"/>
    <n v="0.98486589266632196"/>
    <n v="1.01977771526056"/>
    <x v="10"/>
    <x v="0"/>
  </r>
  <r>
    <x v="0"/>
    <n v="4.9352783885571299"/>
    <n v="0.65406443694435101"/>
    <n v="7.545553786128"/>
    <n v="1.52834568612046E-13"/>
    <n v="3.6509404764005802"/>
    <n v="6.2196163007136702"/>
    <x v="11"/>
    <x v="0"/>
  </r>
  <r>
    <x v="1"/>
    <n v="0.90982133603247495"/>
    <n v="1.2687513324068899E-2"/>
    <n v="71.709980734088703"/>
    <s v="1.18420805565776e-310"/>
    <n v="0.88490780541885605"/>
    <n v="0.93473486664609495"/>
    <x v="11"/>
    <x v="0"/>
  </r>
  <r>
    <x v="0"/>
    <n v="-3.41050312026867"/>
    <n v="1.67148408821634"/>
    <n v="-2.0404041799213699"/>
    <n v="4.1793299111861602E-2"/>
    <n v="-6.6938701803997898"/>
    <n v="-0.12713606013755799"/>
    <x v="0"/>
    <x v="1"/>
  </r>
  <r>
    <x v="1"/>
    <n v="1.0567555409678"/>
    <n v="3.4080183664201097E-2"/>
    <n v="31.007918014181801"/>
    <n v="2.9376093620044E-122"/>
    <n v="0.98981039130403203"/>
    <n v="1.1237006906315801"/>
    <x v="0"/>
    <x v="1"/>
  </r>
  <r>
    <x v="0"/>
    <n v="-2.4199946264934198"/>
    <n v="1.7935519957983199"/>
    <n v="-1.34927486471685"/>
    <n v="0.17783587647249899"/>
    <n v="-5.9434929887375398"/>
    <n v="1.10350373575071"/>
    <x v="1"/>
    <x v="1"/>
  </r>
  <r>
    <x v="1"/>
    <n v="1.0554653768878901"/>
    <n v="3.7103965432132499E-2"/>
    <n v="28.446161066489299"/>
    <n v="4.78300476781252E-108"/>
    <n v="0.98257328246344899"/>
    <n v="1.1283574713123401"/>
    <x v="1"/>
    <x v="1"/>
  </r>
  <r>
    <x v="0"/>
    <n v="-12.6603044932555"/>
    <n v="0.97740351084820598"/>
    <n v="-12.952996743656801"/>
    <n v="5.6498609877257604E-34"/>
    <n v="-14.5798914820165"/>
    <n v="-10.7407175044944"/>
    <x v="2"/>
    <x v="1"/>
  </r>
  <r>
    <x v="1"/>
    <n v="1.2821813221723199"/>
    <n v="1.9798898427236099E-2"/>
    <n v="64.760235367867693"/>
    <n v="2.2663840356551801E-271"/>
    <n v="1.2432969643908101"/>
    <n v="1.3210656799538301"/>
    <x v="2"/>
    <x v="1"/>
  </r>
  <r>
    <x v="0"/>
    <n v="-7.4348554284921402"/>
    <n v="0.96387239766863697"/>
    <n v="-7.7135266519460099"/>
    <n v="5.2019201443034597E-14"/>
    <n v="-9.3278742923829601"/>
    <n v="-5.5418365646013203"/>
    <x v="3"/>
    <x v="1"/>
  </r>
  <r>
    <x v="1"/>
    <n v="1.1781974167276299"/>
    <n v="1.87731586394888E-2"/>
    <n v="62.759679356745103"/>
    <n v="4.70609296386428E-264"/>
    <n v="1.14132744978457"/>
    <n v="1.21506738367068"/>
    <x v="3"/>
    <x v="1"/>
  </r>
  <r>
    <x v="0"/>
    <n v="6.2270364439743497"/>
    <n v="0.84050890138344203"/>
    <n v="7.4086502043284899"/>
    <n v="4.2076861302932601E-13"/>
    <n v="4.57643664811458"/>
    <n v="7.8776362398341204"/>
    <x v="4"/>
    <x v="1"/>
  </r>
  <r>
    <x v="1"/>
    <n v="0.91762357985185505"/>
    <n v="1.61486598382116E-2"/>
    <n v="56.823512851545701"/>
    <n v="1.44520923231875E-247"/>
    <n v="0.88591067997835204"/>
    <n v="0.94933647972535795"/>
    <x v="4"/>
    <x v="1"/>
  </r>
  <r>
    <x v="0"/>
    <n v="9.3688324128897005"/>
    <n v="0.62020795160044295"/>
    <n v="15.105953396297901"/>
    <n v="7.2307934301966796E-44"/>
    <n v="8.1507652574063005"/>
    <n v="10.5868995683731"/>
    <x v="5"/>
    <x v="1"/>
  </r>
  <r>
    <x v="1"/>
    <n v="0.85835898685261203"/>
    <n v="1.1834073900488301E-2"/>
    <n v="72.532839837783499"/>
    <n v="2.4935202990470202E-297"/>
    <n v="0.83511727139806002"/>
    <n v="0.88160070230716403"/>
    <x v="5"/>
    <x v="1"/>
  </r>
  <r>
    <x v="0"/>
    <n v="5.5794353751840999"/>
    <n v="0.47818197129057499"/>
    <n v="11.668017010607199"/>
    <n v="1.4635273162663001E-28"/>
    <n v="4.6403708496695799"/>
    <n v="6.51849990069862"/>
    <x v="6"/>
    <x v="1"/>
  </r>
  <r>
    <x v="1"/>
    <n v="0.92697342199925103"/>
    <n v="8.9991830005989003E-3"/>
    <n v="103.00639757382"/>
    <n v="0"/>
    <n v="0.90930062373028298"/>
    <n v="0.94464622026821898"/>
    <x v="6"/>
    <x v="1"/>
  </r>
  <r>
    <x v="0"/>
    <n v="2.3015178334973698"/>
    <n v="0.46986845045605802"/>
    <n v="4.8982174292900504"/>
    <n v="1.22635911836599E-6"/>
    <n v="1.3788477016723499"/>
    <n v="3.2241879653223902"/>
    <x v="7"/>
    <x v="1"/>
  </r>
  <r>
    <x v="1"/>
    <n v="0.98693527194284003"/>
    <n v="8.7967193042836692E-3"/>
    <n v="112.193561918276"/>
    <n v="0"/>
    <n v="0.96966135165252598"/>
    <n v="1.00420919223315"/>
    <x v="7"/>
    <x v="1"/>
  </r>
  <r>
    <x v="0"/>
    <n v="6.11079684489843"/>
    <n v="0.36881078755902702"/>
    <n v="16.568921113568098"/>
    <n v="2.0144698966734901E-51"/>
    <n v="5.3865451574125203"/>
    <n v="6.8350485323843397"/>
    <x v="8"/>
    <x v="1"/>
  </r>
  <r>
    <x v="1"/>
    <n v="0.91229284573256297"/>
    <n v="6.8342142196977504E-3"/>
    <n v="133.48906200556701"/>
    <n v="0"/>
    <n v="0.89887216676051995"/>
    <n v="0.92571352470460699"/>
    <x v="8"/>
    <x v="1"/>
  </r>
  <r>
    <x v="0"/>
    <n v="5.8419293937353602"/>
    <n v="0.41032483767953498"/>
    <n v="14.2373282270032"/>
    <n v="3.2197474235070798E-40"/>
    <n v="5.0362025646703703"/>
    <n v="6.6476562228003404"/>
    <x v="9"/>
    <x v="1"/>
  </r>
  <r>
    <x v="1"/>
    <n v="0.90647643975444503"/>
    <n v="7.5053215079634999E-3"/>
    <n v="120.777829276551"/>
    <n v="0"/>
    <n v="0.89173875306230399"/>
    <n v="0.92121412644658696"/>
    <x v="9"/>
    <x v="1"/>
  </r>
  <r>
    <x v="0"/>
    <n v="-0.89795169562837995"/>
    <n v="0.76109303023600205"/>
    <n v="-1.1798185766461899"/>
    <n v="0.23852559959943001"/>
    <n v="-2.3925890706114701"/>
    <n v="0.59668567935471595"/>
    <x v="10"/>
    <x v="1"/>
  </r>
  <r>
    <x v="1"/>
    <n v="1.01124581074501"/>
    <n v="1.40455271075804E-2"/>
    <n v="71.997711655779298"/>
    <n v="5.19695753629655E-303"/>
    <n v="0.98366315142172001"/>
    <n v="1.0388284700682899"/>
    <x v="10"/>
    <x v="1"/>
  </r>
  <r>
    <x v="0"/>
    <n v="-9.2051762518813298"/>
    <n v="1.3102965323614799"/>
    <n v="-7.02526185831488"/>
    <n v="5.7811858535305599E-12"/>
    <n v="-11.7784667395202"/>
    <n v="-6.6318857642424396"/>
    <x v="11"/>
    <x v="1"/>
  </r>
  <r>
    <x v="1"/>
    <n v="1.1579154249067201"/>
    <n v="2.5412153524802E-2"/>
    <n v="45.565419073067098"/>
    <n v="1.35762479198772E-197"/>
    <n v="1.1080085135162601"/>
    <n v="1.2078223362971801"/>
    <x v="11"/>
    <x v="1"/>
  </r>
  <r>
    <x v="0"/>
    <n v="2.5007119519293699"/>
    <n v="0.85983955290771996"/>
    <n v="2.90834719509321"/>
    <n v="3.7821276351972201E-3"/>
    <n v="0.81169266367056903"/>
    <n v="4.1897312401881699"/>
    <x v="0"/>
    <x v="2"/>
  </r>
  <r>
    <x v="1"/>
    <n v="0.93918896151266895"/>
    <n v="1.77546088114015E-2"/>
    <n v="52.898319049955496"/>
    <n v="2.13892067303295E-216"/>
    <n v="0.90431283068507795"/>
    <n v="0.97406509234025995"/>
    <x v="0"/>
    <x v="2"/>
  </r>
  <r>
    <x v="0"/>
    <n v="-0.96054269750471699"/>
    <n v="0.640279700117386"/>
    <n v="-1.5001923336451499"/>
    <n v="0.134171480201349"/>
    <n v="-2.2183955392549799"/>
    <n v="0.29731014424554503"/>
    <x v="1"/>
    <x v="2"/>
  </r>
  <r>
    <x v="1"/>
    <n v="1.0190573550490101"/>
    <n v="1.31719906263549E-2"/>
    <n v="77.365478305917804"/>
    <n v="1.8667086216893199E-287"/>
    <n v="0.99318049867228997"/>
    <n v="1.0449342114257301"/>
    <x v="1"/>
    <x v="2"/>
  </r>
  <r>
    <x v="0"/>
    <n v="-5.1387071253535304"/>
    <n v="0.62509927898200701"/>
    <n v="-8.2206255840225406"/>
    <n v="1.2762392879224401E-15"/>
    <n v="-6.3663806801338501"/>
    <n v="-3.91103357057322"/>
    <x v="2"/>
    <x v="2"/>
  </r>
  <r>
    <x v="1"/>
    <n v="1.1124280998965601"/>
    <n v="1.2341782221623699E-2"/>
    <n v="90.135126347270898"/>
    <n v="0"/>
    <n v="1.0881892627041301"/>
    <n v="1.1366669370889799"/>
    <x v="2"/>
    <x v="2"/>
  </r>
  <r>
    <x v="0"/>
    <n v="-8.0224052283315501"/>
    <n v="0.72185754002898295"/>
    <n v="-11.1135574313035"/>
    <n v="3.5430513022549402E-26"/>
    <n v="-9.4401382268756002"/>
    <n v="-6.6046722297875"/>
    <x v="3"/>
    <x v="2"/>
  </r>
  <r>
    <x v="1"/>
    <n v="1.1718118371953901"/>
    <n v="1.3601285109458501E-2"/>
    <n v="86.154494061777797"/>
    <n v="0"/>
    <n v="1.1450988229882999"/>
    <n v="1.19852485140247"/>
    <x v="3"/>
    <x v="2"/>
  </r>
  <r>
    <x v="0"/>
    <n v="-1.69087455258574"/>
    <n v="0.71391906318162002"/>
    <n v="-2.3684401212796602"/>
    <n v="1.8171433727914601E-2"/>
    <n v="-3.0928893765976802"/>
    <n v="-0.28885972857380399"/>
    <x v="4"/>
    <x v="2"/>
  </r>
  <r>
    <x v="1"/>
    <n v="1.0596333228802099"/>
    <n v="1.3223168330037701E-2"/>
    <n v="80.134601362757905"/>
    <n v="0"/>
    <n v="1.0336652839592499"/>
    <n v="1.0856013618011799"/>
    <x v="4"/>
    <x v="2"/>
  </r>
  <r>
    <x v="0"/>
    <n v="-0.92400392839276302"/>
    <n v="0.63816833311938004"/>
    <n v="-1.44789999822807"/>
    <n v="0.148176186352725"/>
    <n v="-2.17736200619122"/>
    <n v="0.32935414940569102"/>
    <x v="5"/>
    <x v="2"/>
  </r>
  <r>
    <x v="1"/>
    <n v="1.04650397899182"/>
    <n v="1.17402953730715E-2"/>
    <n v="89.1377896157679"/>
    <n v="0"/>
    <n v="1.02344612218834"/>
    <n v="1.0695618357952901"/>
    <x v="5"/>
    <x v="2"/>
  </r>
  <r>
    <x v="0"/>
    <n v="-0.113762752273576"/>
    <n v="0.59462133047207899"/>
    <n v="-0.191319662520782"/>
    <n v="0.84833861148397705"/>
    <n v="-1.2815085390238701"/>
    <n v="1.05398303447671"/>
    <x v="6"/>
    <x v="2"/>
  </r>
  <r>
    <x v="1"/>
    <n v="1.02695565950859"/>
    <n v="1.08442560073219E-2"/>
    <n v="94.700425627649906"/>
    <n v="0"/>
    <n v="1.0056591912958901"/>
    <n v="1.04825212772129"/>
    <x v="6"/>
    <x v="2"/>
  </r>
  <r>
    <x v="0"/>
    <n v="1.44012553176629"/>
    <n v="0.44172377643521499"/>
    <n v="3.2602400155779301"/>
    <n v="1.1729673324301899E-3"/>
    <n v="0.57270166136210199"/>
    <n v="2.3075494021704701"/>
    <x v="7"/>
    <x v="2"/>
  </r>
  <r>
    <x v="1"/>
    <n v="0.99557256283343798"/>
    <n v="8.0297280286613405E-3"/>
    <n v="123.98583853398701"/>
    <n v="0"/>
    <n v="0.97980438793209002"/>
    <n v="1.0113407377347901"/>
    <x v="7"/>
    <x v="2"/>
  </r>
  <r>
    <x v="0"/>
    <n v="1.40406255272022"/>
    <n v="0.338877332384379"/>
    <n v="4.1432766920144104"/>
    <n v="3.9001573321306203E-5"/>
    <n v="0.73857396407921305"/>
    <n v="2.0695511413612202"/>
    <x v="8"/>
    <x v="2"/>
  </r>
  <r>
    <x v="1"/>
    <n v="0.99335898676961898"/>
    <n v="6.1231009416947701E-3"/>
    <n v="162.23135895170699"/>
    <n v="0"/>
    <n v="0.98133441795256704"/>
    <n v="1.0053835555866699"/>
    <x v="8"/>
    <x v="2"/>
  </r>
  <r>
    <x v="0"/>
    <n v="2.6747651572245301"/>
    <n v="0.37110436597426499"/>
    <n v="7.2075820240013302"/>
    <n v="1.5903798556101399E-12"/>
    <n v="1.9460528868692499"/>
    <n v="3.4034774275798099"/>
    <x v="9"/>
    <x v="2"/>
  </r>
  <r>
    <x v="1"/>
    <n v="0.960079936897131"/>
    <n v="6.6989453248280997E-3"/>
    <n v="143.318073270253"/>
    <n v="0"/>
    <n v="0.946925675982346"/>
    <n v="0.973234197811916"/>
    <x v="9"/>
    <x v="2"/>
  </r>
  <r>
    <x v="0"/>
    <n v="2.7456218040791498"/>
    <n v="0.53505778893825495"/>
    <n v="5.1314490898776404"/>
    <n v="3.8534914182918501E-7"/>
    <n v="1.69487329193609"/>
    <n v="3.7963703162222102"/>
    <x v="10"/>
    <x v="2"/>
  </r>
  <r>
    <x v="1"/>
    <n v="0.94736452982875297"/>
    <n v="9.9261100128196292E-3"/>
    <n v="95.441671370277703"/>
    <n v="0"/>
    <n v="0.92787159739610003"/>
    <n v="0.96685746226140701"/>
    <x v="10"/>
    <x v="2"/>
  </r>
  <r>
    <x v="0"/>
    <n v="4.2484708183150799"/>
    <n v="0.77649530344275297"/>
    <n v="5.4713412939892896"/>
    <n v="6.5505505816938497E-8"/>
    <n v="2.7235122087976098"/>
    <n v="5.7734294278325402"/>
    <x v="11"/>
    <x v="2"/>
  </r>
  <r>
    <x v="1"/>
    <n v="0.90396024546964304"/>
    <n v="1.53721728282161E-2"/>
    <n v="58.804975430044202"/>
    <n v="3.7928205699107299E-252"/>
    <n v="0.87377084548558104"/>
    <n v="0.93414964545370405"/>
    <x v="11"/>
    <x v="2"/>
  </r>
  <r>
    <x v="0"/>
    <n v="-0.12662972053508201"/>
    <n v="0.25299634611273297"/>
    <n v="-0.500519958018115"/>
    <n v="0.61686588373506801"/>
    <n v="-0.62334984952535999"/>
    <n v="0.37009040845519697"/>
    <x v="0"/>
    <x v="3"/>
  </r>
  <r>
    <x v="1"/>
    <n v="1.0019881394939301"/>
    <n v="5.2395709356262803E-3"/>
    <n v="191.23476937413901"/>
    <n v="0"/>
    <n v="0.99170103301596502"/>
    <n v="1.0122752459719"/>
    <x v="0"/>
    <x v="3"/>
  </r>
  <r>
    <x v="0"/>
    <n v="-0.929765939902643"/>
    <n v="0.23326538412970499"/>
    <n v="-3.98587190024584"/>
    <n v="7.5051321183900301E-5"/>
    <n v="-1.3878321533346201"/>
    <n v="-0.47169972647066799"/>
    <x v="1"/>
    <x v="3"/>
  </r>
  <r>
    <x v="1"/>
    <n v="1.02143214326808"/>
    <n v="4.7813503192089598E-3"/>
    <n v="213.62838425883501"/>
    <n v="0"/>
    <n v="1.0120429445921399"/>
    <n v="1.03082134194401"/>
    <x v="1"/>
    <x v="3"/>
  </r>
  <r>
    <x v="0"/>
    <n v="-0.49851854321894301"/>
    <n v="0.352550467043937"/>
    <n v="-1.4140345562407499"/>
    <n v="0.15781903432945699"/>
    <n v="-1.1907627815793"/>
    <n v="0.19372569514141699"/>
    <x v="2"/>
    <x v="3"/>
  </r>
  <r>
    <x v="1"/>
    <n v="1.01196932046447"/>
    <n v="6.8579908325085799E-3"/>
    <n v="147.56061143556499"/>
    <n v="0"/>
    <n v="0.99850343377783601"/>
    <n v="1.0254352071510999"/>
    <x v="2"/>
    <x v="3"/>
  </r>
  <r>
    <x v="0"/>
    <n v="-2.1144873824922801"/>
    <n v="0.26672955792118602"/>
    <n v="-7.9274580551626501"/>
    <n v="9.3471453899417399E-15"/>
    <n v="-2.6382123867462601"/>
    <n v="-1.5907623782383"/>
    <x v="3"/>
    <x v="3"/>
  </r>
  <r>
    <x v="1"/>
    <n v="1.0436798976605901"/>
    <n v="4.93153580102335E-3"/>
    <n v="211.633847906775"/>
    <n v="0"/>
    <n v="1.0339967990625301"/>
    <n v="1.0533629962586599"/>
    <x v="3"/>
    <x v="3"/>
  </r>
  <r>
    <x v="0"/>
    <n v="-3.0206605813356"/>
    <n v="0.37547946829060502"/>
    <n v="-8.0448089347930498"/>
    <n v="3.6955973552074602E-15"/>
    <n v="-3.7578614662430998"/>
    <n v="-2.2834596964281002"/>
    <x v="4"/>
    <x v="3"/>
  </r>
  <r>
    <x v="1"/>
    <n v="1.0611556721069799"/>
    <n v="6.7784480630021099E-3"/>
    <n v="156.54846983322599"/>
    <n v="0"/>
    <n v="1.0478471470547399"/>
    <n v="1.0744641971592099"/>
    <x v="4"/>
    <x v="3"/>
  </r>
  <r>
    <x v="0"/>
    <n v="-2.9378895017080202"/>
    <n v="0.37251729717503701"/>
    <n v="-7.8865854659295804"/>
    <n v="1.27458158689259E-14"/>
    <n v="-3.6693392564657001"/>
    <n v="-2.2064397469503398"/>
    <x v="5"/>
    <x v="3"/>
  </r>
  <r>
    <x v="1"/>
    <n v="1.06047388589193"/>
    <n v="6.6679707084674198E-3"/>
    <n v="159.039973667742"/>
    <n v="0"/>
    <n v="1.0473811098613199"/>
    <n v="1.0735666619225399"/>
    <x v="5"/>
    <x v="3"/>
  </r>
  <r>
    <x v="0"/>
    <n v="-1.3170917445128001"/>
    <n v="0.43228245646956398"/>
    <n v="-3.0468313594528902"/>
    <n v="2.3964880886786499E-3"/>
    <n v="-2.1657646304714899"/>
    <n v="-0.46841885855410198"/>
    <x v="6"/>
    <x v="3"/>
  </r>
  <r>
    <x v="1"/>
    <n v="1.03260403250815"/>
    <n v="7.7092952711457999E-3"/>
    <n v="133.942727083363"/>
    <n v="0"/>
    <n v="1.0174688592700201"/>
    <n v="1.04773920574628"/>
    <x v="6"/>
    <x v="3"/>
  </r>
  <r>
    <x v="0"/>
    <n v="0.29019915085648601"/>
    <n v="0.63472231387756695"/>
    <n v="0.45720647362093902"/>
    <n v="0.64765942319306102"/>
    <n v="-0.95591114078053296"/>
    <n v="1.5363094424935"/>
    <x v="7"/>
    <x v="3"/>
  </r>
  <r>
    <x v="1"/>
    <n v="1.0042815929126101"/>
    <n v="1.13069391118724E-2"/>
    <n v="88.819934641560707"/>
    <n v="0"/>
    <n v="0.98208339239852505"/>
    <n v="1.02647979342669"/>
    <x v="7"/>
    <x v="3"/>
  </r>
  <r>
    <x v="0"/>
    <n v="0.84067456581254496"/>
    <n v="0.60828301413299701"/>
    <n v="1.38204511104224"/>
    <n v="0.16740443925312801"/>
    <n v="-0.353630130361067"/>
    <n v="2.0349792619861602"/>
    <x v="8"/>
    <x v="3"/>
  </r>
  <r>
    <x v="1"/>
    <n v="0.992765304034393"/>
    <n v="1.0790320794802801E-2"/>
    <n v="92.005170459117195"/>
    <n v="0"/>
    <n v="0.97157955579050803"/>
    <n v="1.01395105227828"/>
    <x v="8"/>
    <x v="3"/>
  </r>
  <r>
    <x v="0"/>
    <n v="-0.68793458964835597"/>
    <n v="0.30833843198858302"/>
    <n v="-2.2311023157626702"/>
    <n v="2.6000596491179799E-2"/>
    <n v="-1.2933475602351201"/>
    <n v="-8.2521619061593707E-2"/>
    <x v="9"/>
    <x v="3"/>
  </r>
  <r>
    <x v="1"/>
    <n v="1.01605388366323"/>
    <n v="5.5172209545352102E-3"/>
    <n v="184.16044817418901"/>
    <n v="0"/>
    <n v="1.00522099103312"/>
    <n v="1.02688677629334"/>
    <x v="9"/>
    <x v="3"/>
  </r>
  <r>
    <x v="0"/>
    <n v="-1.5428868125551201"/>
    <n v="0.27685135157587798"/>
    <n v="-5.5729791592953601"/>
    <n v="3.6042694330901999E-8"/>
    <n v="-2.08646734806339"/>
    <n v="-0.99930627704685704"/>
    <x v="10"/>
    <x v="3"/>
  </r>
  <r>
    <x v="1"/>
    <n v="1.0265370670988501"/>
    <n v="5.1405548461192904E-3"/>
    <n v="199.693826411327"/>
    <n v="0"/>
    <n v="1.0164439050457901"/>
    <n v="1.0366302291519101"/>
    <x v="10"/>
    <x v="3"/>
  </r>
  <r>
    <x v="0"/>
    <n v="-0.47772037343813401"/>
    <n v="0.23598095402317201"/>
    <n v="-2.0244022464254599"/>
    <n v="4.3303730843063798E-2"/>
    <n v="-0.94102656807475704"/>
    <n v="-1.4414178801511199E-2"/>
    <x v="11"/>
    <x v="3"/>
  </r>
  <r>
    <x v="1"/>
    <n v="1.0063481700157499"/>
    <n v="4.7204170311181404E-3"/>
    <n v="213.19052180806599"/>
    <n v="0"/>
    <n v="0.99708047949031298"/>
    <n v="1.0156158605412"/>
    <x v="11"/>
    <x v="3"/>
  </r>
  <r>
    <x v="0"/>
    <n v="-1.53516497151416"/>
    <n v="0.40649048989630698"/>
    <n v="-3.77663195000151"/>
    <n v="1.7277284669172001E-4"/>
    <n v="-2.3332818856795501"/>
    <n v="-0.737048057348763"/>
    <x v="0"/>
    <x v="4"/>
  </r>
  <r>
    <x v="1"/>
    <n v="1.03213186737022"/>
    <n v="8.4321989491764008E-3"/>
    <n v="122.40364270236201"/>
    <n v="0"/>
    <n v="1.01557580819486"/>
    <n v="1.04868792654558"/>
    <x v="0"/>
    <x v="4"/>
  </r>
  <r>
    <x v="0"/>
    <n v="-2.5687368651200799"/>
    <n v="0.40687443823572"/>
    <n v="-6.3133404896571399"/>
    <n v="4.8837111883435897E-10"/>
    <n v="-3.3675953586956902"/>
    <n v="-1.7698783715444599"/>
    <x v="1"/>
    <x v="4"/>
  </r>
  <r>
    <x v="1"/>
    <n v="1.0602436517120899"/>
    <n v="8.3458367233557491E-3"/>
    <n v="127.03862858292101"/>
    <n v="0"/>
    <n v="1.04385741083307"/>
    <n v="1.07662989259111"/>
    <x v="1"/>
    <x v="4"/>
  </r>
  <r>
    <x v="0"/>
    <n v="-2.7374753744495601"/>
    <n v="0.35491431203936502"/>
    <n v="-7.7130599741661898"/>
    <n v="4.2184831668868299E-14"/>
    <n v="-3.4342960422790201"/>
    <n v="-2.04065470662009"/>
    <x v="2"/>
    <x v="4"/>
  </r>
  <r>
    <x v="1"/>
    <n v="1.0663730049118201"/>
    <n v="6.88183533591534E-3"/>
    <n v="154.95473995818699"/>
    <n v="0"/>
    <n v="1.0528615602278599"/>
    <n v="1.07988444959578"/>
    <x v="2"/>
    <x v="4"/>
  </r>
  <r>
    <x v="0"/>
    <n v="-3.0933750833265798"/>
    <n v="0.45107040625238298"/>
    <n v="-6.8578542073446904"/>
    <n v="1.52801490510828E-11"/>
    <n v="-3.9789750592643398"/>
    <n v="-2.2077751073888199"/>
    <x v="3"/>
    <x v="4"/>
  </r>
  <r>
    <x v="1"/>
    <n v="1.07408245810207"/>
    <n v="8.3022429089854299E-3"/>
    <n v="129.37256472460001"/>
    <n v="0"/>
    <n v="1.05778241709181"/>
    <n v="1.0903824991123201"/>
    <x v="3"/>
    <x v="4"/>
  </r>
  <r>
    <x v="0"/>
    <n v="-5.4904884084839702"/>
    <n v="0.69718808938198196"/>
    <n v="-7.8751896254438103"/>
    <n v="1.30606057492782E-14"/>
    <n v="-6.8593289213797703"/>
    <n v="-4.1216478955881701"/>
    <x v="4"/>
    <x v="4"/>
  </r>
  <r>
    <x v="1"/>
    <n v="1.1218474111394301"/>
    <n v="1.24993157104851E-2"/>
    <n v="89.752706238019101"/>
    <n v="0"/>
    <n v="1.09730658781132"/>
    <n v="1.14638823446754"/>
    <x v="4"/>
    <x v="4"/>
  </r>
  <r>
    <x v="0"/>
    <n v="-5.6649889272781104"/>
    <n v="0.58389946912911195"/>
    <n v="-9.7019936252510401"/>
    <n v="7.2576698968823597E-21"/>
    <n v="-6.8115623715142002"/>
    <n v="-4.5184154830420198"/>
    <x v="5"/>
    <x v="4"/>
  </r>
  <r>
    <x v="1"/>
    <n v="1.13016877878678"/>
    <n v="1.0351228848716299E-2"/>
    <n v="109.18208797276699"/>
    <n v="0"/>
    <n v="1.1098426015240199"/>
    <n v="1.1504949560495401"/>
    <x v="5"/>
    <x v="4"/>
  </r>
  <r>
    <x v="0"/>
    <n v="-4.4125561759624699"/>
    <n v="0.53775934925928703"/>
    <n v="-8.2054476264157206"/>
    <n v="1.0971474503001E-15"/>
    <n v="-5.4683654689977796"/>
    <n v="-3.3567468829271698"/>
    <x v="6"/>
    <x v="4"/>
  </r>
  <r>
    <x v="1"/>
    <n v="1.10986740285323"/>
    <n v="9.4815002743954997E-3"/>
    <n v="117.056095631869"/>
    <n v="0"/>
    <n v="1.0912519085518999"/>
    <n v="1.12848289715456"/>
    <x v="6"/>
    <x v="4"/>
  </r>
  <r>
    <x v="0"/>
    <n v="-1.31603090927411"/>
    <n v="0.51240707311106903"/>
    <n v="-2.5683308805318599"/>
    <n v="1.0421445593129099E-2"/>
    <n v="-2.3220380312672901"/>
    <n v="-0.31002378728091901"/>
    <x v="7"/>
    <x v="4"/>
  </r>
  <r>
    <x v="1"/>
    <n v="1.05367039629974"/>
    <n v="9.0336680522262805E-3"/>
    <n v="116.638157413817"/>
    <n v="0"/>
    <n v="1.0359346255128801"/>
    <n v="1.0714061670866"/>
    <x v="7"/>
    <x v="4"/>
  </r>
  <r>
    <x v="0"/>
    <n v="5.84069789600672"/>
    <n v="0.670900962639431"/>
    <n v="8.7057527433385804"/>
    <n v="2.1084580759227999E-17"/>
    <n v="4.5235603447728803"/>
    <n v="7.1578354472405596"/>
    <x v="8"/>
    <x v="4"/>
  </r>
  <r>
    <x v="1"/>
    <n v="0.92278907630234097"/>
    <n v="1.1777233241087801E-2"/>
    <n v="78.353638533960805"/>
    <n v="0"/>
    <n v="0.89966757698230904"/>
    <n v="0.94591057562237202"/>
    <x v="8"/>
    <x v="4"/>
  </r>
  <r>
    <x v="0"/>
    <n v="0.34182315696521298"/>
    <n v="0.48055883230687002"/>
    <n v="0.71130345336559198"/>
    <n v="0.47713181950100803"/>
    <n v="-0.60167692783745397"/>
    <n v="1.2853232417678799"/>
    <x v="9"/>
    <x v="4"/>
  </r>
  <r>
    <x v="1"/>
    <n v="1.0057474668517301"/>
    <n v="8.5626819568741207E-3"/>
    <n v="117.45706215846501"/>
    <n v="0"/>
    <n v="0.98893601607957804"/>
    <n v="1.0225589176238801"/>
    <x v="9"/>
    <x v="4"/>
  </r>
  <r>
    <x v="0"/>
    <n v="-2.8765931345161402"/>
    <n v="0.337845869029816"/>
    <n v="-8.5145132683634301"/>
    <n v="1.06696719158021E-16"/>
    <n v="-3.53993781896243"/>
    <n v="-2.2132484500698499"/>
    <x v="10"/>
    <x v="4"/>
  </r>
  <r>
    <x v="1"/>
    <n v="1.0546382611599301"/>
    <n v="6.2826571817778901E-3"/>
    <n v="167.86500212343"/>
    <n v="0"/>
    <n v="1.0423025553610099"/>
    <n v="1.0669739669588401"/>
    <x v="10"/>
    <x v="4"/>
  </r>
  <r>
    <x v="0"/>
    <n v="-2.8598468136555"/>
    <n v="0.32965096359644303"/>
    <n v="-8.6753782924065899"/>
    <n v="2.8086504131868297E-17"/>
    <n v="-3.5070572384729402"/>
    <n v="-2.21263638883805"/>
    <x v="11"/>
    <x v="4"/>
  </r>
  <r>
    <x v="1"/>
    <n v="1.0535973312093301"/>
    <n v="6.6152220992938696E-3"/>
    <n v="159.26862551172599"/>
    <n v="0"/>
    <n v="1.04060953145156"/>
    <n v="1.0665851309670999"/>
    <x v="1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N1:Q62" firstHeaderRow="1" firstDataRow="2" firstDataCol="2"/>
  <pivotFields count="9"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7"/>
  </rowFields>
  <rowItems count="6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0"/>
  </colFields>
  <colItems count="2">
    <i>
      <x/>
    </i>
    <i>
      <x v="1"/>
    </i>
  </colItems>
  <dataFields count="1">
    <dataField name="Sum of Estimat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tabSelected="1" topLeftCell="C31" workbookViewId="0">
      <selection activeCell="M43" sqref="M43"/>
    </sheetView>
  </sheetViews>
  <sheetFormatPr defaultRowHeight="15" x14ac:dyDescent="0.25"/>
  <cols>
    <col min="14" max="14" width="15.42578125" customWidth="1"/>
    <col min="15" max="15" width="9.28515625" customWidth="1"/>
    <col min="16" max="16" width="12.7109375" customWidth="1"/>
    <col min="17" max="17" width="12" customWidth="1"/>
  </cols>
  <sheetData>
    <row r="1" spans="1:25" x14ac:dyDescent="0.2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N1" s="2" t="s">
        <v>29</v>
      </c>
      <c r="P1" s="2" t="s">
        <v>28</v>
      </c>
    </row>
    <row r="2" spans="1:25" x14ac:dyDescent="0.25">
      <c r="A2" t="s">
        <v>26</v>
      </c>
      <c r="B2">
        <v>4.2641488905354503</v>
      </c>
      <c r="C2">
        <v>0.67626249903939395</v>
      </c>
      <c r="D2">
        <v>6.3054640714109</v>
      </c>
      <c r="E2" s="1">
        <v>5.4717953050564004E-10</v>
      </c>
      <c r="F2">
        <v>2.9360978240627902</v>
      </c>
      <c r="G2">
        <v>5.59219995700811</v>
      </c>
      <c r="H2" t="s">
        <v>8</v>
      </c>
      <c r="I2" t="s">
        <v>9</v>
      </c>
      <c r="N2" s="2" t="s">
        <v>7</v>
      </c>
      <c r="O2" s="2" t="s">
        <v>6</v>
      </c>
      <c r="P2" t="s">
        <v>26</v>
      </c>
      <c r="Q2" t="s">
        <v>27</v>
      </c>
      <c r="V2" t="s">
        <v>22</v>
      </c>
    </row>
    <row r="3" spans="1:25" x14ac:dyDescent="0.25">
      <c r="A3" t="s">
        <v>27</v>
      </c>
      <c r="B3">
        <v>0.91177621584999302</v>
      </c>
      <c r="C3">
        <v>1.3761319158647299E-2</v>
      </c>
      <c r="D3">
        <v>66.2564544386032</v>
      </c>
      <c r="E3" s="1">
        <v>5.7034777232685199E-283</v>
      </c>
      <c r="F3">
        <v>0.88475159950549398</v>
      </c>
      <c r="G3">
        <v>0.93880083219449295</v>
      </c>
      <c r="H3" t="s">
        <v>8</v>
      </c>
      <c r="I3" t="s">
        <v>9</v>
      </c>
      <c r="N3" t="s">
        <v>25</v>
      </c>
      <c r="O3" t="s">
        <v>8</v>
      </c>
      <c r="P3" s="3">
        <v>-1.53516497151416</v>
      </c>
      <c r="Q3" s="3">
        <v>1.03213186737022</v>
      </c>
      <c r="R3">
        <f>P3*1.8</f>
        <v>-2.7632969487254879</v>
      </c>
      <c r="S3">
        <f>Q3</f>
        <v>1.03213186737022</v>
      </c>
      <c r="V3">
        <v>1</v>
      </c>
      <c r="W3" s="3">
        <v>-3.41050312026867</v>
      </c>
      <c r="X3" s="3">
        <v>1.0567555409678</v>
      </c>
      <c r="Y3" t="str">
        <f>V3&amp;":  "&amp;   "["&amp;W3&amp;", "&amp;X3&amp;"]"</f>
        <v>1:  [-3.41050312026867, 1.0567555409678]</v>
      </c>
    </row>
    <row r="4" spans="1:25" x14ac:dyDescent="0.25">
      <c r="A4" t="s">
        <v>26</v>
      </c>
      <c r="B4">
        <v>6.6799407159959099</v>
      </c>
      <c r="C4">
        <v>0.80191681527847603</v>
      </c>
      <c r="D4">
        <v>8.3299671346537494</v>
      </c>
      <c r="E4" s="1">
        <v>6.1868489893639199E-16</v>
      </c>
      <c r="F4">
        <v>5.1048265099181798</v>
      </c>
      <c r="G4">
        <v>8.2550549220736293</v>
      </c>
      <c r="H4" t="s">
        <v>10</v>
      </c>
      <c r="I4" t="s">
        <v>9</v>
      </c>
      <c r="N4" t="s">
        <v>25</v>
      </c>
      <c r="O4" t="s">
        <v>10</v>
      </c>
      <c r="P4" s="3">
        <v>-2.5687368651200799</v>
      </c>
      <c r="Q4" s="3">
        <v>1.0602436517120899</v>
      </c>
      <c r="R4">
        <f t="shared" ref="R4:R62" si="0">P4/1.8</f>
        <v>-1.4270760361778221</v>
      </c>
      <c r="S4">
        <f t="shared" ref="S4:S62" si="1">Q4/1.8</f>
        <v>0.58902425095116107</v>
      </c>
      <c r="V4">
        <v>2</v>
      </c>
      <c r="W4" s="3">
        <v>-2.4199946264934198</v>
      </c>
      <c r="X4" s="3">
        <v>1.0554653768878901</v>
      </c>
      <c r="Y4" t="str">
        <f t="shared" ref="Y4:Y14" si="2">V4&amp;":  "&amp;   "["&amp;W4&amp;", "&amp;X4&amp;"]"</f>
        <v>2:  [-2.41999462649342, 1.05546537688789]</v>
      </c>
    </row>
    <row r="5" spans="1:25" x14ac:dyDescent="0.25">
      <c r="A5" t="s">
        <v>27</v>
      </c>
      <c r="B5">
        <v>0.85176799756141997</v>
      </c>
      <c r="C5">
        <v>1.6535799804932999E-2</v>
      </c>
      <c r="D5">
        <v>51.510541226274199</v>
      </c>
      <c r="E5" s="1">
        <v>3.2658468315758301E-215</v>
      </c>
      <c r="F5">
        <v>0.81928860233566603</v>
      </c>
      <c r="G5">
        <v>0.88424739278717301</v>
      </c>
      <c r="H5" t="s">
        <v>10</v>
      </c>
      <c r="I5" t="s">
        <v>9</v>
      </c>
      <c r="N5" t="s">
        <v>25</v>
      </c>
      <c r="O5" t="s">
        <v>11</v>
      </c>
      <c r="P5" s="3">
        <v>-2.7374753744495601</v>
      </c>
      <c r="Q5" s="3">
        <v>1.0663730049118201</v>
      </c>
      <c r="R5">
        <f t="shared" si="0"/>
        <v>-1.5208196524719777</v>
      </c>
      <c r="S5">
        <f t="shared" si="1"/>
        <v>0.59242944717323331</v>
      </c>
      <c r="V5">
        <v>3</v>
      </c>
      <c r="W5" s="3">
        <v>-12.6603044932555</v>
      </c>
      <c r="X5" s="3">
        <v>1.2821813221723199</v>
      </c>
      <c r="Y5" t="str">
        <f t="shared" si="2"/>
        <v>3:  [-12.6603044932555, 1.28218132217232]</v>
      </c>
    </row>
    <row r="6" spans="1:25" x14ac:dyDescent="0.25">
      <c r="A6" t="s">
        <v>26</v>
      </c>
      <c r="B6">
        <v>10.218139023684399</v>
      </c>
      <c r="C6">
        <v>0.52819161498524203</v>
      </c>
      <c r="D6">
        <v>19.345515403476998</v>
      </c>
      <c r="E6" s="1">
        <v>1.5014380212903099E-65</v>
      </c>
      <c r="F6">
        <v>9.1808710418290005</v>
      </c>
      <c r="G6">
        <v>11.2554070055398</v>
      </c>
      <c r="H6" t="s">
        <v>11</v>
      </c>
      <c r="I6" t="s">
        <v>9</v>
      </c>
      <c r="N6" t="s">
        <v>25</v>
      </c>
      <c r="O6" t="s">
        <v>12</v>
      </c>
      <c r="P6" s="3">
        <v>-3.0933750833265798</v>
      </c>
      <c r="Q6" s="3">
        <v>1.07408245810207</v>
      </c>
      <c r="R6">
        <f t="shared" si="0"/>
        <v>-1.7185417129592109</v>
      </c>
      <c r="S6">
        <f t="shared" si="1"/>
        <v>0.59671247672337224</v>
      </c>
      <c r="V6">
        <v>4</v>
      </c>
      <c r="W6" s="3">
        <v>-7.4348554284921402</v>
      </c>
      <c r="X6" s="3">
        <v>1.1781974167276299</v>
      </c>
      <c r="Y6" t="str">
        <f t="shared" si="2"/>
        <v>4:  [-7.43485542849214, 1.17819741672763]</v>
      </c>
    </row>
    <row r="7" spans="1:25" x14ac:dyDescent="0.25">
      <c r="A7" t="s">
        <v>27</v>
      </c>
      <c r="B7">
        <v>0.77664658090389904</v>
      </c>
      <c r="C7">
        <v>1.0678232182636501E-2</v>
      </c>
      <c r="D7">
        <v>72.731756307638193</v>
      </c>
      <c r="E7" s="1">
        <v>3.7375825117261898E-305</v>
      </c>
      <c r="F7">
        <v>0.75567656163129804</v>
      </c>
      <c r="G7">
        <v>0.79761660017649905</v>
      </c>
      <c r="H7" t="s">
        <v>11</v>
      </c>
      <c r="I7" t="s">
        <v>9</v>
      </c>
      <c r="N7" t="s">
        <v>25</v>
      </c>
      <c r="O7" t="s">
        <v>13</v>
      </c>
      <c r="P7" s="3">
        <v>-5.4904884084839702</v>
      </c>
      <c r="Q7" s="3">
        <v>1.1218474111394301</v>
      </c>
      <c r="R7">
        <f t="shared" si="0"/>
        <v>-3.0502713380466502</v>
      </c>
      <c r="S7">
        <f t="shared" si="1"/>
        <v>0.62324856174412779</v>
      </c>
      <c r="V7">
        <v>5</v>
      </c>
      <c r="W7" s="3">
        <v>6.2270364439743497</v>
      </c>
      <c r="X7" s="3">
        <v>0.91762357985185505</v>
      </c>
      <c r="Y7" t="str">
        <f t="shared" si="2"/>
        <v>5:  [6.22703644397435, 0.917623579851855]</v>
      </c>
    </row>
    <row r="8" spans="1:25" x14ac:dyDescent="0.25">
      <c r="A8" t="s">
        <v>26</v>
      </c>
      <c r="B8">
        <v>8.2127827211154596</v>
      </c>
      <c r="C8">
        <v>0.63288678107723295</v>
      </c>
      <c r="D8">
        <v>12.9767013100456</v>
      </c>
      <c r="E8" s="1">
        <v>4.1906551903551101E-34</v>
      </c>
      <c r="F8">
        <v>6.9698317536927297</v>
      </c>
      <c r="G8">
        <v>9.4557336885381993</v>
      </c>
      <c r="H8" t="s">
        <v>12</v>
      </c>
      <c r="I8" t="s">
        <v>9</v>
      </c>
      <c r="N8" t="s">
        <v>25</v>
      </c>
      <c r="O8" t="s">
        <v>14</v>
      </c>
      <c r="P8" s="3">
        <v>-5.6649889272781104</v>
      </c>
      <c r="Q8" s="3">
        <v>1.13016877878678</v>
      </c>
      <c r="R8">
        <f t="shared" si="0"/>
        <v>-3.1472160707100612</v>
      </c>
      <c r="S8">
        <f t="shared" si="1"/>
        <v>0.6278715437704333</v>
      </c>
      <c r="V8">
        <v>6</v>
      </c>
      <c r="W8" s="3">
        <v>9.3688324128897005</v>
      </c>
      <c r="X8" s="3">
        <v>0.85835898685261203</v>
      </c>
      <c r="Y8" t="str">
        <f t="shared" si="2"/>
        <v>6:  [9.3688324128897, 0.858358986852612]</v>
      </c>
    </row>
    <row r="9" spans="1:25" x14ac:dyDescent="0.25">
      <c r="A9" t="s">
        <v>27</v>
      </c>
      <c r="B9">
        <v>0.81832672069144496</v>
      </c>
      <c r="C9">
        <v>1.2330890263691699E-2</v>
      </c>
      <c r="D9">
        <v>66.363961011072206</v>
      </c>
      <c r="E9" s="1">
        <v>5.3222710611711702E-278</v>
      </c>
      <c r="F9">
        <v>0.79410960565492705</v>
      </c>
      <c r="G9">
        <v>0.84254383572796399</v>
      </c>
      <c r="H9" t="s">
        <v>12</v>
      </c>
      <c r="I9" t="s">
        <v>9</v>
      </c>
      <c r="N9" t="s">
        <v>25</v>
      </c>
      <c r="O9" t="s">
        <v>15</v>
      </c>
      <c r="P9" s="3">
        <v>-4.4125561759624699</v>
      </c>
      <c r="Q9" s="3">
        <v>1.10986740285323</v>
      </c>
      <c r="R9">
        <f t="shared" si="0"/>
        <v>-2.4514200977569276</v>
      </c>
      <c r="S9">
        <f t="shared" si="1"/>
        <v>0.61659300158512775</v>
      </c>
      <c r="V9">
        <v>7</v>
      </c>
      <c r="W9" s="3">
        <v>5.5794353751840999</v>
      </c>
      <c r="X9" s="3">
        <v>0.92697342199925103</v>
      </c>
      <c r="Y9" t="str">
        <f t="shared" si="2"/>
        <v>7:  [5.5794353751841, 0.926973421999251]</v>
      </c>
    </row>
    <row r="10" spans="1:25" x14ac:dyDescent="0.25">
      <c r="A10" t="s">
        <v>26</v>
      </c>
      <c r="B10">
        <v>3.53518852264905</v>
      </c>
      <c r="C10">
        <v>0.52858697977015701</v>
      </c>
      <c r="D10">
        <v>6.6879977334784799</v>
      </c>
      <c r="E10" s="1">
        <v>5.0700148732717102E-11</v>
      </c>
      <c r="F10">
        <v>2.4971441194705899</v>
      </c>
      <c r="G10">
        <v>4.5732329258275</v>
      </c>
      <c r="H10" t="s">
        <v>13</v>
      </c>
      <c r="I10" t="s">
        <v>9</v>
      </c>
      <c r="N10" t="s">
        <v>25</v>
      </c>
      <c r="O10" t="s">
        <v>16</v>
      </c>
      <c r="P10" s="3">
        <v>-1.31603090927411</v>
      </c>
      <c r="Q10" s="3">
        <v>1.05367039629974</v>
      </c>
      <c r="R10">
        <f t="shared" si="0"/>
        <v>-0.73112828293006116</v>
      </c>
      <c r="S10">
        <f t="shared" si="1"/>
        <v>0.58537244238874442</v>
      </c>
      <c r="V10">
        <v>8</v>
      </c>
      <c r="W10" s="3">
        <v>2.3015178334973698</v>
      </c>
      <c r="X10" s="3">
        <v>0.98693527194284003</v>
      </c>
      <c r="Y10" t="str">
        <f t="shared" si="2"/>
        <v>8:  [2.30151783349737, 0.98693527194284]</v>
      </c>
    </row>
    <row r="11" spans="1:25" x14ac:dyDescent="0.25">
      <c r="A11" t="s">
        <v>27</v>
      </c>
      <c r="B11">
        <v>0.91159593331081901</v>
      </c>
      <c r="C11">
        <v>1.01557179432199E-2</v>
      </c>
      <c r="D11">
        <v>89.761840414188498</v>
      </c>
      <c r="E11">
        <v>0</v>
      </c>
      <c r="F11">
        <v>0.89165203273308902</v>
      </c>
      <c r="G11">
        <v>0.931539833888549</v>
      </c>
      <c r="H11" t="s">
        <v>13</v>
      </c>
      <c r="I11" t="s">
        <v>9</v>
      </c>
      <c r="N11" t="s">
        <v>25</v>
      </c>
      <c r="O11" t="s">
        <v>17</v>
      </c>
      <c r="P11" s="3">
        <v>5.84069789600672</v>
      </c>
      <c r="Q11" s="3">
        <v>0.92278907630234097</v>
      </c>
      <c r="R11">
        <f t="shared" si="0"/>
        <v>3.2448321644481775</v>
      </c>
      <c r="S11">
        <f t="shared" si="1"/>
        <v>0.51266059794574492</v>
      </c>
      <c r="V11">
        <v>9</v>
      </c>
      <c r="W11" s="3">
        <v>6.11079684489843</v>
      </c>
      <c r="X11" s="3">
        <v>0.91229284573256297</v>
      </c>
      <c r="Y11" t="str">
        <f t="shared" si="2"/>
        <v>9:  [6.11079684489843, 0.912292845732563]</v>
      </c>
    </row>
    <row r="12" spans="1:25" x14ac:dyDescent="0.25">
      <c r="A12" t="s">
        <v>26</v>
      </c>
      <c r="B12">
        <v>4.3130871606526204</v>
      </c>
      <c r="C12">
        <v>0.37436052748776799</v>
      </c>
      <c r="D12">
        <v>11.521212424815699</v>
      </c>
      <c r="E12" s="1">
        <v>7.2071581394870702E-28</v>
      </c>
      <c r="F12">
        <v>3.5778609553852401</v>
      </c>
      <c r="G12">
        <v>5.0483133659199897</v>
      </c>
      <c r="H12" t="s">
        <v>14</v>
      </c>
      <c r="I12" t="s">
        <v>9</v>
      </c>
      <c r="N12" t="s">
        <v>25</v>
      </c>
      <c r="O12" t="s">
        <v>18</v>
      </c>
      <c r="P12" s="3">
        <v>0.34182315696521298</v>
      </c>
      <c r="Q12" s="3">
        <v>1.0057474668517301</v>
      </c>
      <c r="R12">
        <f t="shared" si="0"/>
        <v>0.18990175386956276</v>
      </c>
      <c r="S12">
        <f t="shared" si="1"/>
        <v>0.55874859269540555</v>
      </c>
      <c r="V12">
        <v>10</v>
      </c>
      <c r="W12" s="3">
        <v>5.8419293937353602</v>
      </c>
      <c r="X12" s="3">
        <v>0.90647643975444503</v>
      </c>
      <c r="Y12" t="str">
        <f t="shared" si="2"/>
        <v>10:  [5.84192939373536, 0.906476439754445]</v>
      </c>
    </row>
    <row r="13" spans="1:25" x14ac:dyDescent="0.25">
      <c r="A13" t="s">
        <v>27</v>
      </c>
      <c r="B13">
        <v>0.89738997608779503</v>
      </c>
      <c r="C13">
        <v>7.14391033527716E-3</v>
      </c>
      <c r="D13">
        <v>125.61607494657601</v>
      </c>
      <c r="E13">
        <v>0</v>
      </c>
      <c r="F13">
        <v>0.88335967721567998</v>
      </c>
      <c r="G13">
        <v>0.91142027495991096</v>
      </c>
      <c r="H13" t="s">
        <v>14</v>
      </c>
      <c r="I13" t="s">
        <v>9</v>
      </c>
      <c r="N13" t="s">
        <v>25</v>
      </c>
      <c r="O13" t="s">
        <v>19</v>
      </c>
      <c r="P13" s="3">
        <v>-2.8765931345161402</v>
      </c>
      <c r="Q13" s="3">
        <v>1.0546382611599301</v>
      </c>
      <c r="R13">
        <f t="shared" si="0"/>
        <v>-1.5981072969534111</v>
      </c>
      <c r="S13">
        <f t="shared" si="1"/>
        <v>0.58591014508885009</v>
      </c>
      <c r="V13">
        <v>11</v>
      </c>
      <c r="W13" s="3">
        <v>-0.89795169562837995</v>
      </c>
      <c r="X13" s="3">
        <v>1.01124581074501</v>
      </c>
      <c r="Y13" t="str">
        <f t="shared" si="2"/>
        <v>11:  [-0.89795169562838, 1.01124581074501]</v>
      </c>
    </row>
    <row r="14" spans="1:25" x14ac:dyDescent="0.25">
      <c r="A14" t="s">
        <v>26</v>
      </c>
      <c r="B14">
        <v>2.9696752836604801</v>
      </c>
      <c r="C14">
        <v>0.37955685830442798</v>
      </c>
      <c r="D14">
        <v>7.8240590801776797</v>
      </c>
      <c r="E14" s="1">
        <v>2.2335609583384101E-14</v>
      </c>
      <c r="F14">
        <v>2.2242929764031398</v>
      </c>
      <c r="G14">
        <v>3.7150575909178101</v>
      </c>
      <c r="H14" t="s">
        <v>15</v>
      </c>
      <c r="I14" t="s">
        <v>9</v>
      </c>
      <c r="N14" t="s">
        <v>25</v>
      </c>
      <c r="O14" t="s">
        <v>20</v>
      </c>
      <c r="P14" s="3">
        <v>-2.8598468136555</v>
      </c>
      <c r="Q14" s="3">
        <v>1.0535973312093301</v>
      </c>
      <c r="R14">
        <f t="shared" si="0"/>
        <v>-1.5888037853641666</v>
      </c>
      <c r="S14">
        <f t="shared" si="1"/>
        <v>0.58533185067185001</v>
      </c>
      <c r="V14">
        <v>12</v>
      </c>
      <c r="W14" s="3">
        <v>-9.2051762518813298</v>
      </c>
      <c r="X14" s="3">
        <v>1.1579154249067201</v>
      </c>
      <c r="Y14" t="str">
        <f t="shared" si="2"/>
        <v>12:  [-9.20517625188133, 1.15791542490672]</v>
      </c>
    </row>
    <row r="15" spans="1:25" x14ac:dyDescent="0.25">
      <c r="A15" t="s">
        <v>27</v>
      </c>
      <c r="B15">
        <v>0.92422600552013801</v>
      </c>
      <c r="C15">
        <v>7.14309997467121E-3</v>
      </c>
      <c r="D15">
        <v>129.38724206539999</v>
      </c>
      <c r="E15">
        <v>0</v>
      </c>
      <c r="F15">
        <v>0.91019822490282698</v>
      </c>
      <c r="G15">
        <v>0.93825378613744803</v>
      </c>
      <c r="H15" t="s">
        <v>15</v>
      </c>
      <c r="I15" t="s">
        <v>9</v>
      </c>
      <c r="N15" t="s">
        <v>23</v>
      </c>
      <c r="O15" t="s">
        <v>8</v>
      </c>
      <c r="P15" s="3">
        <v>2.5007119519293699</v>
      </c>
      <c r="Q15" s="3">
        <v>0.93918896151266895</v>
      </c>
      <c r="R15">
        <f t="shared" si="0"/>
        <v>1.3892844177385388</v>
      </c>
      <c r="S15">
        <f t="shared" si="1"/>
        <v>0.52177164528481612</v>
      </c>
    </row>
    <row r="16" spans="1:25" x14ac:dyDescent="0.25">
      <c r="A16" t="s">
        <v>26</v>
      </c>
      <c r="B16">
        <v>4.1223477266525403</v>
      </c>
      <c r="C16">
        <v>0.411155045172929</v>
      </c>
      <c r="D16">
        <v>10.026260835298</v>
      </c>
      <c r="E16" s="1">
        <v>4.4497129082598202E-22</v>
      </c>
      <c r="F16">
        <v>3.3149765565730802</v>
      </c>
      <c r="G16">
        <v>4.9297188967319903</v>
      </c>
      <c r="H16" t="s">
        <v>16</v>
      </c>
      <c r="I16" t="s">
        <v>9</v>
      </c>
      <c r="N16" t="s">
        <v>23</v>
      </c>
      <c r="O16" t="s">
        <v>10</v>
      </c>
      <c r="P16" s="3">
        <v>-0.96054269750471699</v>
      </c>
      <c r="Q16" s="3">
        <v>1.0190573550490101</v>
      </c>
      <c r="R16">
        <f t="shared" si="0"/>
        <v>-0.53363483194706496</v>
      </c>
      <c r="S16">
        <f t="shared" si="1"/>
        <v>0.56614297502722777</v>
      </c>
      <c r="V16" t="s">
        <v>23</v>
      </c>
    </row>
    <row r="17" spans="1:25" x14ac:dyDescent="0.25">
      <c r="A17" t="s">
        <v>27</v>
      </c>
      <c r="B17">
        <v>0.90127763802051197</v>
      </c>
      <c r="C17">
        <v>7.6979170351704797E-3</v>
      </c>
      <c r="D17">
        <v>117.080715978456</v>
      </c>
      <c r="E17">
        <v>0</v>
      </c>
      <c r="F17">
        <v>0.88616150030840801</v>
      </c>
      <c r="G17">
        <v>0.91639377573261505</v>
      </c>
      <c r="H17" t="s">
        <v>16</v>
      </c>
      <c r="I17" t="s">
        <v>9</v>
      </c>
      <c r="N17" t="s">
        <v>23</v>
      </c>
      <c r="O17" t="s">
        <v>11</v>
      </c>
      <c r="P17" s="3">
        <v>-5.1387071253535304</v>
      </c>
      <c r="Q17" s="3">
        <v>1.1124280998965601</v>
      </c>
      <c r="R17">
        <f t="shared" si="0"/>
        <v>-2.8548372918630722</v>
      </c>
      <c r="S17">
        <f t="shared" si="1"/>
        <v>0.61801561105364444</v>
      </c>
      <c r="V17">
        <v>1</v>
      </c>
      <c r="W17" s="3">
        <v>2.5007119519293699</v>
      </c>
      <c r="X17" s="3">
        <v>0.93918896151266895</v>
      </c>
      <c r="Y17" t="str">
        <f>V17&amp;":  "&amp;   "["&amp;W17&amp;", "&amp;X17&amp;"]"</f>
        <v>1:  [2.50071195192937, 0.939188961512669]</v>
      </c>
    </row>
    <row r="18" spans="1:25" x14ac:dyDescent="0.25">
      <c r="A18" t="s">
        <v>26</v>
      </c>
      <c r="B18">
        <v>-0.67518541274399202</v>
      </c>
      <c r="C18">
        <v>0.41366332049761401</v>
      </c>
      <c r="D18">
        <v>-1.63221001062357</v>
      </c>
      <c r="E18">
        <v>0.103136540855889</v>
      </c>
      <c r="F18">
        <v>-1.4875162013966201</v>
      </c>
      <c r="G18">
        <v>0.13714537590863499</v>
      </c>
      <c r="H18" t="s">
        <v>17</v>
      </c>
      <c r="I18" t="s">
        <v>9</v>
      </c>
      <c r="N18" t="s">
        <v>23</v>
      </c>
      <c r="O18" t="s">
        <v>12</v>
      </c>
      <c r="P18" s="3">
        <v>-8.0224052283315501</v>
      </c>
      <c r="Q18" s="3">
        <v>1.1718118371953901</v>
      </c>
      <c r="R18">
        <f t="shared" si="0"/>
        <v>-4.4568917935175278</v>
      </c>
      <c r="S18">
        <f t="shared" si="1"/>
        <v>0.65100657621966118</v>
      </c>
      <c r="V18">
        <v>2</v>
      </c>
      <c r="W18" s="3">
        <v>-0.96054269750471699</v>
      </c>
      <c r="X18" s="3">
        <v>1.0190573550490101</v>
      </c>
      <c r="Y18" t="str">
        <f t="shared" ref="Y18:Y28" si="3">V18&amp;":  "&amp;   "["&amp;W18&amp;", "&amp;X18&amp;"]"</f>
        <v>2:  [-0.960542697504717, 1.01905735504901]</v>
      </c>
    </row>
    <row r="19" spans="1:25" x14ac:dyDescent="0.25">
      <c r="A19" t="s">
        <v>27</v>
      </c>
      <c r="B19">
        <v>0.99225748892677701</v>
      </c>
      <c r="C19">
        <v>7.6653499368147301E-3</v>
      </c>
      <c r="D19">
        <v>129.44712206304101</v>
      </c>
      <c r="E19">
        <v>0</v>
      </c>
      <c r="F19">
        <v>0.97720466830932295</v>
      </c>
      <c r="G19">
        <v>1.00731030954423</v>
      </c>
      <c r="H19" t="s">
        <v>17</v>
      </c>
      <c r="I19" t="s">
        <v>9</v>
      </c>
      <c r="N19" t="s">
        <v>23</v>
      </c>
      <c r="O19" t="s">
        <v>13</v>
      </c>
      <c r="P19" s="3">
        <v>-1.69087455258574</v>
      </c>
      <c r="Q19" s="3">
        <v>1.0596333228802099</v>
      </c>
      <c r="R19">
        <f t="shared" si="0"/>
        <v>-0.93937475143652227</v>
      </c>
      <c r="S19">
        <f t="shared" si="1"/>
        <v>0.58868517937789444</v>
      </c>
      <c r="V19">
        <v>3</v>
      </c>
      <c r="W19" s="3">
        <v>-5.1387071253535304</v>
      </c>
      <c r="X19" s="3">
        <v>1.1124280998965601</v>
      </c>
      <c r="Y19" t="str">
        <f t="shared" si="3"/>
        <v>3:  [-5.13870712535353, 1.11242809989656]</v>
      </c>
    </row>
    <row r="20" spans="1:25" x14ac:dyDescent="0.25">
      <c r="A20" t="s">
        <v>26</v>
      </c>
      <c r="B20">
        <v>-2.6729906333214402</v>
      </c>
      <c r="C20">
        <v>0.40894865260994301</v>
      </c>
      <c r="D20">
        <v>-6.5362500066015699</v>
      </c>
      <c r="E20" s="1">
        <v>1.2769477628546299E-10</v>
      </c>
      <c r="F20">
        <v>-3.4760128265567798</v>
      </c>
      <c r="G20">
        <v>-1.8699684400861101</v>
      </c>
      <c r="H20" t="s">
        <v>18</v>
      </c>
      <c r="I20" t="s">
        <v>9</v>
      </c>
      <c r="N20" t="s">
        <v>23</v>
      </c>
      <c r="O20" t="s">
        <v>14</v>
      </c>
      <c r="P20" s="3">
        <v>-0.92400392839276302</v>
      </c>
      <c r="Q20" s="3">
        <v>1.04650397899182</v>
      </c>
      <c r="R20">
        <f t="shared" si="0"/>
        <v>-0.51333551577375724</v>
      </c>
      <c r="S20">
        <f t="shared" si="1"/>
        <v>0.58139109943989997</v>
      </c>
      <c r="V20">
        <v>4</v>
      </c>
      <c r="W20" s="3">
        <v>-8.0224052283315501</v>
      </c>
      <c r="X20" s="3">
        <v>1.1718118371953901</v>
      </c>
      <c r="Y20" t="str">
        <f t="shared" si="3"/>
        <v>4:  [-8.02240522833155, 1.17181183719539]</v>
      </c>
    </row>
    <row r="21" spans="1:25" x14ac:dyDescent="0.25">
      <c r="A21" t="s">
        <v>27</v>
      </c>
      <c r="B21">
        <v>1.0389586573060701</v>
      </c>
      <c r="C21">
        <v>7.4804087329728699E-3</v>
      </c>
      <c r="D21">
        <v>138.89062675498599</v>
      </c>
      <c r="E21">
        <v>0</v>
      </c>
      <c r="F21">
        <v>1.0242699324778799</v>
      </c>
      <c r="G21">
        <v>1.05364738213427</v>
      </c>
      <c r="H21" t="s">
        <v>18</v>
      </c>
      <c r="I21" t="s">
        <v>9</v>
      </c>
      <c r="N21" t="s">
        <v>23</v>
      </c>
      <c r="O21" t="s">
        <v>15</v>
      </c>
      <c r="P21" s="3">
        <v>-0.113762752273576</v>
      </c>
      <c r="Q21" s="3">
        <v>1.02695565950859</v>
      </c>
      <c r="R21">
        <f t="shared" si="0"/>
        <v>-6.3201529040875559E-2</v>
      </c>
      <c r="S21">
        <f t="shared" si="1"/>
        <v>0.57053092194921662</v>
      </c>
      <c r="V21">
        <v>5</v>
      </c>
      <c r="W21" s="3">
        <v>-1.69087455258574</v>
      </c>
      <c r="X21" s="3">
        <v>1.0596333228802099</v>
      </c>
      <c r="Y21" t="str">
        <f t="shared" si="3"/>
        <v>5:  [-1.69087455258574, 1.05963332288021]</v>
      </c>
    </row>
    <row r="22" spans="1:25" x14ac:dyDescent="0.25">
      <c r="A22" t="s">
        <v>26</v>
      </c>
      <c r="B22">
        <v>-2.5617517187387799E-2</v>
      </c>
      <c r="C22">
        <v>0.48158575963475497</v>
      </c>
      <c r="D22">
        <v>-5.3194091965710698E-2</v>
      </c>
      <c r="E22">
        <v>0.95759417935108604</v>
      </c>
      <c r="F22">
        <v>-0.97133090424180601</v>
      </c>
      <c r="G22">
        <v>0.92009586986702996</v>
      </c>
      <c r="H22" t="s">
        <v>19</v>
      </c>
      <c r="I22" t="s">
        <v>9</v>
      </c>
      <c r="N22" t="s">
        <v>23</v>
      </c>
      <c r="O22" t="s">
        <v>16</v>
      </c>
      <c r="P22" s="3">
        <v>1.44012553176629</v>
      </c>
      <c r="Q22" s="3">
        <v>0.99557256283343798</v>
      </c>
      <c r="R22">
        <f t="shared" si="0"/>
        <v>0.80006973987016106</v>
      </c>
      <c r="S22">
        <f t="shared" si="1"/>
        <v>0.55309586824079882</v>
      </c>
      <c r="V22">
        <v>6</v>
      </c>
      <c r="W22" s="3">
        <v>-0.92400392839276302</v>
      </c>
      <c r="X22" s="3">
        <v>1.04650397899182</v>
      </c>
      <c r="Y22" t="str">
        <f t="shared" si="3"/>
        <v>6:  [-0.924003928392763, 1.04650397899182]</v>
      </c>
    </row>
    <row r="23" spans="1:25" x14ac:dyDescent="0.25">
      <c r="A23" t="s">
        <v>27</v>
      </c>
      <c r="B23">
        <v>1.0023218039634401</v>
      </c>
      <c r="C23">
        <v>8.8890761378821806E-3</v>
      </c>
      <c r="D23">
        <v>112.75882762348</v>
      </c>
      <c r="E23">
        <v>0</v>
      </c>
      <c r="F23">
        <v>0.98486589266632196</v>
      </c>
      <c r="G23">
        <v>1.01977771526056</v>
      </c>
      <c r="H23" t="s">
        <v>19</v>
      </c>
      <c r="I23" t="s">
        <v>9</v>
      </c>
      <c r="N23" t="s">
        <v>23</v>
      </c>
      <c r="O23" t="s">
        <v>17</v>
      </c>
      <c r="P23" s="3">
        <v>1.40406255272022</v>
      </c>
      <c r="Q23" s="3">
        <v>0.99335898676961898</v>
      </c>
      <c r="R23">
        <f t="shared" si="0"/>
        <v>0.78003475151123325</v>
      </c>
      <c r="S23">
        <f t="shared" si="1"/>
        <v>0.5518661037608994</v>
      </c>
      <c r="V23">
        <v>7</v>
      </c>
      <c r="W23" s="3">
        <v>-0.113762752273576</v>
      </c>
      <c r="X23" s="3">
        <v>1.02695565950859</v>
      </c>
      <c r="Y23" t="str">
        <f t="shared" si="3"/>
        <v>7:  [-0.113762752273576, 1.02695565950859]</v>
      </c>
    </row>
    <row r="24" spans="1:25" x14ac:dyDescent="0.25">
      <c r="A24" t="s">
        <v>26</v>
      </c>
      <c r="B24">
        <v>4.9352783885571299</v>
      </c>
      <c r="C24">
        <v>0.65406443694435101</v>
      </c>
      <c r="D24">
        <v>7.545553786128</v>
      </c>
      <c r="E24" s="1">
        <v>1.52834568612046E-13</v>
      </c>
      <c r="F24">
        <v>3.6509404764005802</v>
      </c>
      <c r="G24">
        <v>6.2196163007136702</v>
      </c>
      <c r="H24" t="s">
        <v>20</v>
      </c>
      <c r="I24" t="s">
        <v>9</v>
      </c>
      <c r="N24" t="s">
        <v>23</v>
      </c>
      <c r="O24" t="s">
        <v>18</v>
      </c>
      <c r="P24" s="3">
        <v>2.6747651572245301</v>
      </c>
      <c r="Q24" s="3">
        <v>0.960079936897131</v>
      </c>
      <c r="R24">
        <f t="shared" si="0"/>
        <v>1.4859806429025166</v>
      </c>
      <c r="S24">
        <f t="shared" si="1"/>
        <v>0.53337774272062832</v>
      </c>
      <c r="V24">
        <v>8</v>
      </c>
      <c r="W24" s="3">
        <v>1.44012553176629</v>
      </c>
      <c r="X24" s="3">
        <v>0.99557256283343798</v>
      </c>
      <c r="Y24" t="str">
        <f t="shared" si="3"/>
        <v>8:  [1.44012553176629, 0.995572562833438]</v>
      </c>
    </row>
    <row r="25" spans="1:25" x14ac:dyDescent="0.25">
      <c r="A25" t="s">
        <v>27</v>
      </c>
      <c r="B25">
        <v>0.90982133603247495</v>
      </c>
      <c r="C25">
        <v>1.2687513324068899E-2</v>
      </c>
      <c r="D25">
        <v>71.709980734088703</v>
      </c>
      <c r="E25" s="1" t="s">
        <v>21</v>
      </c>
      <c r="F25">
        <v>0.88490780541885605</v>
      </c>
      <c r="G25">
        <v>0.93473486664609495</v>
      </c>
      <c r="H25" t="s">
        <v>20</v>
      </c>
      <c r="I25" t="s">
        <v>9</v>
      </c>
      <c r="N25" t="s">
        <v>23</v>
      </c>
      <c r="O25" t="s">
        <v>19</v>
      </c>
      <c r="P25" s="3">
        <v>2.7456218040791498</v>
      </c>
      <c r="Q25" s="3">
        <v>0.94736452982875297</v>
      </c>
      <c r="R25">
        <f t="shared" si="0"/>
        <v>1.5253454467106387</v>
      </c>
      <c r="S25">
        <f t="shared" si="1"/>
        <v>0.52631362768264056</v>
      </c>
      <c r="V25">
        <v>9</v>
      </c>
      <c r="W25" s="3">
        <v>1.40406255272022</v>
      </c>
      <c r="X25" s="3">
        <v>0.99335898676961898</v>
      </c>
      <c r="Y25" t="str">
        <f t="shared" si="3"/>
        <v>9:  [1.40406255272022, 0.993358986769619]</v>
      </c>
    </row>
    <row r="26" spans="1:25" x14ac:dyDescent="0.25">
      <c r="A26" t="s">
        <v>26</v>
      </c>
      <c r="B26">
        <v>-3.41050312026867</v>
      </c>
      <c r="C26">
        <v>1.67148408821634</v>
      </c>
      <c r="D26">
        <v>-2.0404041799213699</v>
      </c>
      <c r="E26">
        <v>4.1793299111861602E-2</v>
      </c>
      <c r="F26">
        <v>-6.6938701803997898</v>
      </c>
      <c r="G26">
        <v>-0.12713606013755799</v>
      </c>
      <c r="H26" t="s">
        <v>8</v>
      </c>
      <c r="I26" t="s">
        <v>22</v>
      </c>
      <c r="N26" t="s">
        <v>23</v>
      </c>
      <c r="O26" t="s">
        <v>20</v>
      </c>
      <c r="P26" s="3">
        <v>4.2484708183150799</v>
      </c>
      <c r="Q26" s="3">
        <v>0.90396024546964304</v>
      </c>
      <c r="R26">
        <f t="shared" si="0"/>
        <v>2.3602615657306001</v>
      </c>
      <c r="S26">
        <f t="shared" si="1"/>
        <v>0.50220013637202388</v>
      </c>
      <c r="V26">
        <v>10</v>
      </c>
      <c r="W26" s="3">
        <v>2.6747651572245301</v>
      </c>
      <c r="X26" s="3">
        <v>0.960079936897131</v>
      </c>
      <c r="Y26" t="str">
        <f t="shared" si="3"/>
        <v>10:  [2.67476515722453, 0.960079936897131]</v>
      </c>
    </row>
    <row r="27" spans="1:25" x14ac:dyDescent="0.25">
      <c r="A27" t="s">
        <v>27</v>
      </c>
      <c r="B27">
        <v>1.0567555409678</v>
      </c>
      <c r="C27">
        <v>3.4080183664201097E-2</v>
      </c>
      <c r="D27">
        <v>31.007918014181801</v>
      </c>
      <c r="E27" s="1">
        <v>2.9376093620044E-122</v>
      </c>
      <c r="F27">
        <v>0.98981039130403203</v>
      </c>
      <c r="G27">
        <v>1.1237006906315801</v>
      </c>
      <c r="H27" t="s">
        <v>8</v>
      </c>
      <c r="I27" t="s">
        <v>22</v>
      </c>
      <c r="N27" t="s">
        <v>22</v>
      </c>
      <c r="O27" t="s">
        <v>8</v>
      </c>
      <c r="P27" s="3">
        <v>-3.41050312026867</v>
      </c>
      <c r="Q27" s="3">
        <v>1.0567555409678</v>
      </c>
      <c r="R27">
        <f t="shared" si="0"/>
        <v>-1.8947239557048166</v>
      </c>
      <c r="S27">
        <f t="shared" si="1"/>
        <v>0.58708641164877773</v>
      </c>
      <c r="V27">
        <v>11</v>
      </c>
      <c r="W27" s="3">
        <v>2.7456218040791498</v>
      </c>
      <c r="X27" s="3">
        <v>0.94736452982875297</v>
      </c>
      <c r="Y27" t="str">
        <f t="shared" si="3"/>
        <v>11:  [2.74562180407915, 0.947364529828753]</v>
      </c>
    </row>
    <row r="28" spans="1:25" x14ac:dyDescent="0.25">
      <c r="A28" t="s">
        <v>26</v>
      </c>
      <c r="B28">
        <v>-2.4199946264934198</v>
      </c>
      <c r="C28">
        <v>1.7935519957983199</v>
      </c>
      <c r="D28">
        <v>-1.34927486471685</v>
      </c>
      <c r="E28">
        <v>0.17783587647249899</v>
      </c>
      <c r="F28">
        <v>-5.9434929887375398</v>
      </c>
      <c r="G28">
        <v>1.10350373575071</v>
      </c>
      <c r="H28" t="s">
        <v>10</v>
      </c>
      <c r="I28" t="s">
        <v>22</v>
      </c>
      <c r="N28" t="s">
        <v>22</v>
      </c>
      <c r="O28" t="s">
        <v>10</v>
      </c>
      <c r="P28" s="3">
        <v>-2.4199946264934198</v>
      </c>
      <c r="Q28" s="3">
        <v>1.0554653768878901</v>
      </c>
      <c r="R28">
        <f t="shared" si="0"/>
        <v>-1.3444414591630109</v>
      </c>
      <c r="S28">
        <f t="shared" si="1"/>
        <v>0.58636965382660555</v>
      </c>
      <c r="V28">
        <v>12</v>
      </c>
      <c r="W28" s="3">
        <v>4.2484708183150799</v>
      </c>
      <c r="X28" s="3">
        <v>0.90396024546964304</v>
      </c>
      <c r="Y28" t="str">
        <f t="shared" si="3"/>
        <v>12:  [4.24847081831508, 0.903960245469643]</v>
      </c>
    </row>
    <row r="29" spans="1:25" x14ac:dyDescent="0.25">
      <c r="A29" t="s">
        <v>27</v>
      </c>
      <c r="B29">
        <v>1.0554653768878901</v>
      </c>
      <c r="C29">
        <v>3.7103965432132499E-2</v>
      </c>
      <c r="D29">
        <v>28.446161066489299</v>
      </c>
      <c r="E29" s="1">
        <v>4.78300476781252E-108</v>
      </c>
      <c r="F29">
        <v>0.98257328246344899</v>
      </c>
      <c r="G29">
        <v>1.1283574713123401</v>
      </c>
      <c r="H29" t="s">
        <v>10</v>
      </c>
      <c r="I29" t="s">
        <v>22</v>
      </c>
      <c r="N29" t="s">
        <v>22</v>
      </c>
      <c r="O29" t="s">
        <v>11</v>
      </c>
      <c r="P29" s="3">
        <v>-12.6603044932555</v>
      </c>
      <c r="Q29" s="3">
        <v>1.2821813221723199</v>
      </c>
      <c r="R29">
        <f t="shared" si="0"/>
        <v>-7.0335024962530559</v>
      </c>
      <c r="S29">
        <f t="shared" si="1"/>
        <v>0.71232295676239998</v>
      </c>
    </row>
    <row r="30" spans="1:25" x14ac:dyDescent="0.25">
      <c r="A30" t="s">
        <v>26</v>
      </c>
      <c r="B30">
        <v>-12.6603044932555</v>
      </c>
      <c r="C30">
        <v>0.97740351084820598</v>
      </c>
      <c r="D30">
        <v>-12.952996743656801</v>
      </c>
      <c r="E30" s="1">
        <v>5.6498609877257604E-34</v>
      </c>
      <c r="F30">
        <v>-14.5798914820165</v>
      </c>
      <c r="G30">
        <v>-10.7407175044944</v>
      </c>
      <c r="H30" t="s">
        <v>11</v>
      </c>
      <c r="I30" t="s">
        <v>22</v>
      </c>
      <c r="N30" t="s">
        <v>22</v>
      </c>
      <c r="O30" t="s">
        <v>12</v>
      </c>
      <c r="P30" s="3">
        <v>-7.4348554284921402</v>
      </c>
      <c r="Q30" s="3">
        <v>1.1781974167276299</v>
      </c>
      <c r="R30">
        <f t="shared" si="0"/>
        <v>-4.1304752380511891</v>
      </c>
      <c r="S30">
        <f t="shared" si="1"/>
        <v>0.65455412040423877</v>
      </c>
    </row>
    <row r="31" spans="1:25" x14ac:dyDescent="0.25">
      <c r="A31" t="s">
        <v>27</v>
      </c>
      <c r="B31">
        <v>1.2821813221723199</v>
      </c>
      <c r="C31">
        <v>1.9798898427236099E-2</v>
      </c>
      <c r="D31">
        <v>64.760235367867693</v>
      </c>
      <c r="E31" s="1">
        <v>2.2663840356551801E-271</v>
      </c>
      <c r="F31">
        <v>1.2432969643908101</v>
      </c>
      <c r="G31">
        <v>1.3210656799538301</v>
      </c>
      <c r="H31" t="s">
        <v>11</v>
      </c>
      <c r="I31" t="s">
        <v>22</v>
      </c>
      <c r="N31" t="s">
        <v>22</v>
      </c>
      <c r="O31" t="s">
        <v>13</v>
      </c>
      <c r="P31" s="3">
        <v>6.2270364439743497</v>
      </c>
      <c r="Q31" s="3">
        <v>0.91762357985185505</v>
      </c>
      <c r="R31">
        <f t="shared" si="0"/>
        <v>3.4594646910968607</v>
      </c>
      <c r="S31">
        <f t="shared" si="1"/>
        <v>0.50979087769547504</v>
      </c>
      <c r="V31" t="s">
        <v>24</v>
      </c>
    </row>
    <row r="32" spans="1:25" x14ac:dyDescent="0.25">
      <c r="A32" t="s">
        <v>26</v>
      </c>
      <c r="B32">
        <v>-7.4348554284921402</v>
      </c>
      <c r="C32">
        <v>0.96387239766863697</v>
      </c>
      <c r="D32">
        <v>-7.7135266519460099</v>
      </c>
      <c r="E32" s="1">
        <v>5.2019201443034597E-14</v>
      </c>
      <c r="F32">
        <v>-9.3278742923829601</v>
      </c>
      <c r="G32">
        <v>-5.5418365646013203</v>
      </c>
      <c r="H32" t="s">
        <v>12</v>
      </c>
      <c r="I32" t="s">
        <v>22</v>
      </c>
      <c r="N32" t="s">
        <v>22</v>
      </c>
      <c r="O32" t="s">
        <v>14</v>
      </c>
      <c r="P32" s="3">
        <v>9.3688324128897005</v>
      </c>
      <c r="Q32" s="3">
        <v>0.85835898685261203</v>
      </c>
      <c r="R32">
        <f t="shared" si="0"/>
        <v>5.2049068960498337</v>
      </c>
      <c r="S32">
        <f t="shared" si="1"/>
        <v>0.47686610380700667</v>
      </c>
      <c r="V32">
        <v>1</v>
      </c>
      <c r="W32" s="3">
        <v>-0.12662972053508201</v>
      </c>
      <c r="X32" s="3">
        <v>1.0019881394939301</v>
      </c>
      <c r="Y32" t="str">
        <f>V32&amp;":  "&amp;   "["&amp;W32&amp;", "&amp;X32&amp;"]"</f>
        <v>1:  [-0.126629720535082, 1.00198813949393]</v>
      </c>
    </row>
    <row r="33" spans="1:25" x14ac:dyDescent="0.25">
      <c r="A33" t="s">
        <v>27</v>
      </c>
      <c r="B33">
        <v>1.1781974167276299</v>
      </c>
      <c r="C33">
        <v>1.87731586394888E-2</v>
      </c>
      <c r="D33">
        <v>62.759679356745103</v>
      </c>
      <c r="E33" s="1">
        <v>4.70609296386428E-264</v>
      </c>
      <c r="F33">
        <v>1.14132744978457</v>
      </c>
      <c r="G33">
        <v>1.21506738367068</v>
      </c>
      <c r="H33" t="s">
        <v>12</v>
      </c>
      <c r="I33" t="s">
        <v>22</v>
      </c>
      <c r="N33" t="s">
        <v>22</v>
      </c>
      <c r="O33" t="s">
        <v>15</v>
      </c>
      <c r="P33" s="3">
        <v>5.5794353751840999</v>
      </c>
      <c r="Q33" s="3">
        <v>0.92697342199925103</v>
      </c>
      <c r="R33">
        <f t="shared" si="0"/>
        <v>3.0996863195467221</v>
      </c>
      <c r="S33">
        <f t="shared" si="1"/>
        <v>0.51498523444402833</v>
      </c>
      <c r="V33">
        <v>2</v>
      </c>
      <c r="W33" s="3">
        <v>-0.929765939902643</v>
      </c>
      <c r="X33" s="3">
        <v>1.02143214326808</v>
      </c>
      <c r="Y33" t="str">
        <f t="shared" ref="Y33:Y43" si="4">V33&amp;":  "&amp;   "["&amp;W33&amp;", "&amp;X33&amp;"]"</f>
        <v>2:  [-0.929765939902643, 1.02143214326808]</v>
      </c>
    </row>
    <row r="34" spans="1:25" x14ac:dyDescent="0.25">
      <c r="A34" t="s">
        <v>26</v>
      </c>
      <c r="B34">
        <v>6.2270364439743497</v>
      </c>
      <c r="C34">
        <v>0.84050890138344203</v>
      </c>
      <c r="D34">
        <v>7.4086502043284899</v>
      </c>
      <c r="E34" s="1">
        <v>4.2076861302932601E-13</v>
      </c>
      <c r="F34">
        <v>4.57643664811458</v>
      </c>
      <c r="G34">
        <v>7.8776362398341204</v>
      </c>
      <c r="H34" t="s">
        <v>13</v>
      </c>
      <c r="I34" t="s">
        <v>22</v>
      </c>
      <c r="N34" t="s">
        <v>22</v>
      </c>
      <c r="O34" t="s">
        <v>16</v>
      </c>
      <c r="P34" s="3">
        <v>2.3015178334973698</v>
      </c>
      <c r="Q34" s="3">
        <v>0.98693527194284003</v>
      </c>
      <c r="R34">
        <f t="shared" si="0"/>
        <v>1.2786210186096498</v>
      </c>
      <c r="S34">
        <f t="shared" si="1"/>
        <v>0.5482973733015778</v>
      </c>
      <c r="V34">
        <v>3</v>
      </c>
      <c r="W34" s="3">
        <v>-0.49851854321894301</v>
      </c>
      <c r="X34" s="3">
        <v>1.01196932046447</v>
      </c>
      <c r="Y34" t="str">
        <f t="shared" si="4"/>
        <v>3:  [-0.498518543218943, 1.01196932046447]</v>
      </c>
    </row>
    <row r="35" spans="1:25" x14ac:dyDescent="0.25">
      <c r="A35" t="s">
        <v>27</v>
      </c>
      <c r="B35">
        <v>0.91762357985185505</v>
      </c>
      <c r="C35">
        <v>1.61486598382116E-2</v>
      </c>
      <c r="D35">
        <v>56.823512851545701</v>
      </c>
      <c r="E35" s="1">
        <v>1.44520923231875E-247</v>
      </c>
      <c r="F35">
        <v>0.88591067997835204</v>
      </c>
      <c r="G35">
        <v>0.94933647972535795</v>
      </c>
      <c r="H35" t="s">
        <v>13</v>
      </c>
      <c r="I35" t="s">
        <v>22</v>
      </c>
      <c r="N35" t="s">
        <v>22</v>
      </c>
      <c r="O35" t="s">
        <v>17</v>
      </c>
      <c r="P35" s="3">
        <v>6.11079684489843</v>
      </c>
      <c r="Q35" s="3">
        <v>0.91229284573256297</v>
      </c>
      <c r="R35">
        <f t="shared" si="0"/>
        <v>3.3948871360546833</v>
      </c>
      <c r="S35">
        <f t="shared" si="1"/>
        <v>0.50682935874031276</v>
      </c>
      <c r="V35">
        <v>4</v>
      </c>
      <c r="W35" s="3">
        <v>-2.1144873824922801</v>
      </c>
      <c r="X35" s="3">
        <v>1.0436798976605901</v>
      </c>
      <c r="Y35" t="str">
        <f t="shared" si="4"/>
        <v>4:  [-2.11448738249228, 1.04367989766059]</v>
      </c>
    </row>
    <row r="36" spans="1:25" x14ac:dyDescent="0.25">
      <c r="A36" t="s">
        <v>26</v>
      </c>
      <c r="B36">
        <v>9.3688324128897005</v>
      </c>
      <c r="C36">
        <v>0.62020795160044295</v>
      </c>
      <c r="D36">
        <v>15.105953396297901</v>
      </c>
      <c r="E36" s="1">
        <v>7.2307934301966796E-44</v>
      </c>
      <c r="F36">
        <v>8.1507652574063005</v>
      </c>
      <c r="G36">
        <v>10.5868995683731</v>
      </c>
      <c r="H36" t="s">
        <v>14</v>
      </c>
      <c r="I36" t="s">
        <v>22</v>
      </c>
      <c r="N36" t="s">
        <v>22</v>
      </c>
      <c r="O36" t="s">
        <v>18</v>
      </c>
      <c r="P36" s="3">
        <v>5.8419293937353602</v>
      </c>
      <c r="Q36" s="3">
        <v>0.90647643975444503</v>
      </c>
      <c r="R36">
        <f t="shared" si="0"/>
        <v>3.2455163298529777</v>
      </c>
      <c r="S36">
        <f t="shared" si="1"/>
        <v>0.50359802208580273</v>
      </c>
      <c r="V36">
        <v>5</v>
      </c>
      <c r="W36" s="3">
        <v>-3.0206605813356</v>
      </c>
      <c r="X36" s="3">
        <v>1.0611556721069799</v>
      </c>
      <c r="Y36" t="str">
        <f t="shared" si="4"/>
        <v>5:  [-3.0206605813356, 1.06115567210698]</v>
      </c>
    </row>
    <row r="37" spans="1:25" x14ac:dyDescent="0.25">
      <c r="A37" t="s">
        <v>27</v>
      </c>
      <c r="B37">
        <v>0.85835898685261203</v>
      </c>
      <c r="C37">
        <v>1.1834073900488301E-2</v>
      </c>
      <c r="D37">
        <v>72.532839837783499</v>
      </c>
      <c r="E37" s="1">
        <v>2.4935202990470202E-297</v>
      </c>
      <c r="F37">
        <v>0.83511727139806002</v>
      </c>
      <c r="G37">
        <v>0.88160070230716403</v>
      </c>
      <c r="H37" t="s">
        <v>14</v>
      </c>
      <c r="I37" t="s">
        <v>22</v>
      </c>
      <c r="N37" t="s">
        <v>22</v>
      </c>
      <c r="O37" t="s">
        <v>19</v>
      </c>
      <c r="P37" s="3">
        <v>-0.89795169562837995</v>
      </c>
      <c r="Q37" s="3">
        <v>1.01124581074501</v>
      </c>
      <c r="R37">
        <f t="shared" si="0"/>
        <v>-0.49886205312687776</v>
      </c>
      <c r="S37">
        <f t="shared" si="1"/>
        <v>0.56180322819167217</v>
      </c>
      <c r="V37">
        <v>6</v>
      </c>
      <c r="W37" s="3">
        <v>-2.9378895017080202</v>
      </c>
      <c r="X37" s="3">
        <v>1.06047388589193</v>
      </c>
      <c r="Y37" t="str">
        <f t="shared" si="4"/>
        <v>6:  [-2.93788950170802, 1.06047388589193]</v>
      </c>
    </row>
    <row r="38" spans="1:25" x14ac:dyDescent="0.25">
      <c r="A38" t="s">
        <v>26</v>
      </c>
      <c r="B38">
        <v>5.5794353751840999</v>
      </c>
      <c r="C38">
        <v>0.47818197129057499</v>
      </c>
      <c r="D38">
        <v>11.668017010607199</v>
      </c>
      <c r="E38" s="1">
        <v>1.4635273162663001E-28</v>
      </c>
      <c r="F38">
        <v>4.6403708496695799</v>
      </c>
      <c r="G38">
        <v>6.51849990069862</v>
      </c>
      <c r="H38" t="s">
        <v>15</v>
      </c>
      <c r="I38" t="s">
        <v>22</v>
      </c>
      <c r="N38" t="s">
        <v>22</v>
      </c>
      <c r="O38" t="s">
        <v>20</v>
      </c>
      <c r="P38" s="3">
        <v>-9.2051762518813298</v>
      </c>
      <c r="Q38" s="3">
        <v>1.1579154249067201</v>
      </c>
      <c r="R38">
        <f t="shared" si="0"/>
        <v>-5.1139868066007388</v>
      </c>
      <c r="S38">
        <f t="shared" si="1"/>
        <v>0.64328634717040001</v>
      </c>
      <c r="V38">
        <v>7</v>
      </c>
      <c r="W38" s="3">
        <v>-1.3170917445128001</v>
      </c>
      <c r="X38" s="3">
        <v>1.03260403250815</v>
      </c>
      <c r="Y38" t="str">
        <f t="shared" si="4"/>
        <v>7:  [-1.3170917445128, 1.03260403250815]</v>
      </c>
    </row>
    <row r="39" spans="1:25" x14ac:dyDescent="0.25">
      <c r="A39" t="s">
        <v>27</v>
      </c>
      <c r="B39">
        <v>0.92697342199925103</v>
      </c>
      <c r="C39">
        <v>8.9991830005989003E-3</v>
      </c>
      <c r="D39">
        <v>103.00639757382</v>
      </c>
      <c r="E39">
        <v>0</v>
      </c>
      <c r="F39">
        <v>0.90930062373028298</v>
      </c>
      <c r="G39">
        <v>0.94464622026821898</v>
      </c>
      <c r="H39" t="s">
        <v>15</v>
      </c>
      <c r="I39" t="s">
        <v>22</v>
      </c>
      <c r="N39" t="s">
        <v>9</v>
      </c>
      <c r="O39" t="s">
        <v>8</v>
      </c>
      <c r="P39" s="3">
        <v>4.2641488905354503</v>
      </c>
      <c r="Q39" s="3">
        <v>0.91177621584999302</v>
      </c>
      <c r="R39">
        <f t="shared" si="0"/>
        <v>2.3689716058530279</v>
      </c>
      <c r="S39">
        <f t="shared" si="1"/>
        <v>0.50654234213888505</v>
      </c>
      <c r="V39">
        <v>8</v>
      </c>
      <c r="W39" s="3">
        <v>0.29019915085648601</v>
      </c>
      <c r="X39" s="3">
        <v>1.0042815929126101</v>
      </c>
      <c r="Y39" t="str">
        <f t="shared" si="4"/>
        <v>8:  [0.290199150856486, 1.00428159291261]</v>
      </c>
    </row>
    <row r="40" spans="1:25" x14ac:dyDescent="0.25">
      <c r="A40" t="s">
        <v>26</v>
      </c>
      <c r="B40">
        <v>2.3015178334973698</v>
      </c>
      <c r="C40">
        <v>0.46986845045605802</v>
      </c>
      <c r="D40">
        <v>4.8982174292900504</v>
      </c>
      <c r="E40" s="1">
        <v>1.22635911836599E-6</v>
      </c>
      <c r="F40">
        <v>1.3788477016723499</v>
      </c>
      <c r="G40">
        <v>3.2241879653223902</v>
      </c>
      <c r="H40" t="s">
        <v>16</v>
      </c>
      <c r="I40" t="s">
        <v>22</v>
      </c>
      <c r="N40" t="s">
        <v>9</v>
      </c>
      <c r="O40" t="s">
        <v>10</v>
      </c>
      <c r="P40" s="3">
        <v>6.6799407159959099</v>
      </c>
      <c r="Q40" s="3">
        <v>0.85176799756141997</v>
      </c>
      <c r="R40">
        <f t="shared" si="0"/>
        <v>3.7110781755532831</v>
      </c>
      <c r="S40">
        <f t="shared" si="1"/>
        <v>0.47320444308967774</v>
      </c>
      <c r="V40">
        <v>9</v>
      </c>
      <c r="W40" s="3">
        <v>0.84067456581254496</v>
      </c>
      <c r="X40" s="3">
        <v>0.992765304034393</v>
      </c>
      <c r="Y40" t="str">
        <f t="shared" si="4"/>
        <v>9:  [0.840674565812545, 0.992765304034393]</v>
      </c>
    </row>
    <row r="41" spans="1:25" x14ac:dyDescent="0.25">
      <c r="A41" t="s">
        <v>27</v>
      </c>
      <c r="B41">
        <v>0.98693527194284003</v>
      </c>
      <c r="C41">
        <v>8.7967193042836692E-3</v>
      </c>
      <c r="D41">
        <v>112.193561918276</v>
      </c>
      <c r="E41">
        <v>0</v>
      </c>
      <c r="F41">
        <v>0.96966135165252598</v>
      </c>
      <c r="G41">
        <v>1.00420919223315</v>
      </c>
      <c r="H41" t="s">
        <v>16</v>
      </c>
      <c r="I41" t="s">
        <v>22</v>
      </c>
      <c r="N41" t="s">
        <v>9</v>
      </c>
      <c r="O41" t="s">
        <v>11</v>
      </c>
      <c r="P41" s="3">
        <v>10.218139023684399</v>
      </c>
      <c r="Q41" s="3">
        <v>0.77664658090389904</v>
      </c>
      <c r="R41">
        <f t="shared" si="0"/>
        <v>5.6767439020468879</v>
      </c>
      <c r="S41">
        <f t="shared" si="1"/>
        <v>0.43147032272438834</v>
      </c>
      <c r="V41">
        <v>10</v>
      </c>
      <c r="W41" s="3">
        <v>-0.68793458964835597</v>
      </c>
      <c r="X41" s="3">
        <v>1.01605388366323</v>
      </c>
      <c r="Y41" t="str">
        <f t="shared" si="4"/>
        <v>10:  [-0.687934589648356, 1.01605388366323]</v>
      </c>
    </row>
    <row r="42" spans="1:25" x14ac:dyDescent="0.25">
      <c r="A42" t="s">
        <v>26</v>
      </c>
      <c r="B42">
        <v>6.11079684489843</v>
      </c>
      <c r="C42">
        <v>0.36881078755902702</v>
      </c>
      <c r="D42">
        <v>16.568921113568098</v>
      </c>
      <c r="E42" s="1">
        <v>2.0144698966734901E-51</v>
      </c>
      <c r="F42">
        <v>5.3865451574125203</v>
      </c>
      <c r="G42">
        <v>6.8350485323843397</v>
      </c>
      <c r="H42" t="s">
        <v>17</v>
      </c>
      <c r="I42" t="s">
        <v>22</v>
      </c>
      <c r="N42" t="s">
        <v>9</v>
      </c>
      <c r="O42" t="s">
        <v>12</v>
      </c>
      <c r="P42" s="3">
        <v>8.2127827211154596</v>
      </c>
      <c r="Q42" s="3">
        <v>0.81832672069144496</v>
      </c>
      <c r="R42">
        <f t="shared" si="0"/>
        <v>4.5626570672863664</v>
      </c>
      <c r="S42">
        <f t="shared" si="1"/>
        <v>0.45462595593969163</v>
      </c>
      <c r="V42">
        <v>11</v>
      </c>
      <c r="W42" s="3">
        <v>-1.5428868125551201</v>
      </c>
      <c r="X42" s="3">
        <v>1.0265370670988501</v>
      </c>
      <c r="Y42" t="str">
        <f t="shared" si="4"/>
        <v>11:  [-1.54288681255512, 1.02653706709885]</v>
      </c>
    </row>
    <row r="43" spans="1:25" x14ac:dyDescent="0.25">
      <c r="A43" t="s">
        <v>27</v>
      </c>
      <c r="B43">
        <v>0.91229284573256297</v>
      </c>
      <c r="C43">
        <v>6.8342142196977504E-3</v>
      </c>
      <c r="D43">
        <v>133.48906200556701</v>
      </c>
      <c r="E43">
        <v>0</v>
      </c>
      <c r="F43">
        <v>0.89887216676051995</v>
      </c>
      <c r="G43">
        <v>0.92571352470460699</v>
      </c>
      <c r="H43" t="s">
        <v>17</v>
      </c>
      <c r="I43" t="s">
        <v>22</v>
      </c>
      <c r="N43" t="s">
        <v>9</v>
      </c>
      <c r="O43" t="s">
        <v>13</v>
      </c>
      <c r="P43" s="3">
        <v>3.53518852264905</v>
      </c>
      <c r="Q43" s="3">
        <v>0.91159593331081901</v>
      </c>
      <c r="R43">
        <f t="shared" si="0"/>
        <v>1.9639936236939166</v>
      </c>
      <c r="S43">
        <f t="shared" si="1"/>
        <v>0.50644218517267725</v>
      </c>
      <c r="V43">
        <v>12</v>
      </c>
      <c r="W43" s="3">
        <v>-0.47772037343813401</v>
      </c>
      <c r="X43" s="3">
        <v>1.0063481700157499</v>
      </c>
      <c r="Y43" t="str">
        <f t="shared" si="4"/>
        <v>12:  [-0.477720373438134, 1.00634817001575]</v>
      </c>
    </row>
    <row r="44" spans="1:25" x14ac:dyDescent="0.25">
      <c r="A44" t="s">
        <v>26</v>
      </c>
      <c r="B44">
        <v>5.8419293937353602</v>
      </c>
      <c r="C44">
        <v>0.41032483767953498</v>
      </c>
      <c r="D44">
        <v>14.2373282270032</v>
      </c>
      <c r="E44" s="1">
        <v>3.2197474235070798E-40</v>
      </c>
      <c r="F44">
        <v>5.0362025646703703</v>
      </c>
      <c r="G44">
        <v>6.6476562228003404</v>
      </c>
      <c r="H44" t="s">
        <v>18</v>
      </c>
      <c r="I44" t="s">
        <v>22</v>
      </c>
      <c r="N44" t="s">
        <v>9</v>
      </c>
      <c r="O44" t="s">
        <v>14</v>
      </c>
      <c r="P44" s="3">
        <v>4.3130871606526204</v>
      </c>
      <c r="Q44" s="3">
        <v>0.89738997608779503</v>
      </c>
      <c r="R44">
        <f t="shared" si="0"/>
        <v>2.3961595336959003</v>
      </c>
      <c r="S44">
        <f t="shared" si="1"/>
        <v>0.49854998671544165</v>
      </c>
    </row>
    <row r="45" spans="1:25" x14ac:dyDescent="0.25">
      <c r="A45" t="s">
        <v>27</v>
      </c>
      <c r="B45">
        <v>0.90647643975444503</v>
      </c>
      <c r="C45">
        <v>7.5053215079634999E-3</v>
      </c>
      <c r="D45">
        <v>120.777829276551</v>
      </c>
      <c r="E45">
        <v>0</v>
      </c>
      <c r="F45">
        <v>0.89173875306230399</v>
      </c>
      <c r="G45">
        <v>0.92121412644658696</v>
      </c>
      <c r="H45" t="s">
        <v>18</v>
      </c>
      <c r="I45" t="s">
        <v>22</v>
      </c>
      <c r="N45" t="s">
        <v>9</v>
      </c>
      <c r="O45" t="s">
        <v>15</v>
      </c>
      <c r="P45" s="3">
        <v>2.9696752836604801</v>
      </c>
      <c r="Q45" s="3">
        <v>0.92422600552013801</v>
      </c>
      <c r="R45">
        <f t="shared" si="0"/>
        <v>1.6498196020336</v>
      </c>
      <c r="S45">
        <f t="shared" si="1"/>
        <v>0.51345889195563221</v>
      </c>
      <c r="V45" t="s">
        <v>25</v>
      </c>
    </row>
    <row r="46" spans="1:25" x14ac:dyDescent="0.25">
      <c r="A46" t="s">
        <v>26</v>
      </c>
      <c r="B46">
        <v>-0.89795169562837995</v>
      </c>
      <c r="C46">
        <v>0.76109303023600205</v>
      </c>
      <c r="D46">
        <v>-1.1798185766461899</v>
      </c>
      <c r="E46">
        <v>0.23852559959943001</v>
      </c>
      <c r="F46">
        <v>-2.3925890706114701</v>
      </c>
      <c r="G46">
        <v>0.59668567935471595</v>
      </c>
      <c r="H46" t="s">
        <v>19</v>
      </c>
      <c r="I46" t="s">
        <v>22</v>
      </c>
      <c r="N46" t="s">
        <v>9</v>
      </c>
      <c r="O46" t="s">
        <v>16</v>
      </c>
      <c r="P46" s="3">
        <v>4.1223477266525403</v>
      </c>
      <c r="Q46" s="3">
        <v>0.90127763802051197</v>
      </c>
      <c r="R46">
        <f t="shared" si="0"/>
        <v>2.2901931814736334</v>
      </c>
      <c r="S46">
        <f t="shared" si="1"/>
        <v>0.50070979890028444</v>
      </c>
      <c r="V46">
        <v>1</v>
      </c>
      <c r="W46" s="3">
        <v>-1.53516497151416</v>
      </c>
      <c r="X46" s="3">
        <v>1.03213186737022</v>
      </c>
      <c r="Y46" t="str">
        <f>V46&amp;":  "&amp;   "["&amp;W46&amp;", "&amp;X46&amp;"]"</f>
        <v>1:  [-1.53516497151416, 1.03213186737022]</v>
      </c>
    </row>
    <row r="47" spans="1:25" x14ac:dyDescent="0.25">
      <c r="A47" t="s">
        <v>27</v>
      </c>
      <c r="B47">
        <v>1.01124581074501</v>
      </c>
      <c r="C47">
        <v>1.40455271075804E-2</v>
      </c>
      <c r="D47">
        <v>71.997711655779298</v>
      </c>
      <c r="E47" s="1">
        <v>5.19695753629655E-303</v>
      </c>
      <c r="F47">
        <v>0.98366315142172001</v>
      </c>
      <c r="G47">
        <v>1.0388284700682899</v>
      </c>
      <c r="H47" t="s">
        <v>19</v>
      </c>
      <c r="I47" t="s">
        <v>22</v>
      </c>
      <c r="N47" t="s">
        <v>9</v>
      </c>
      <c r="O47" t="s">
        <v>17</v>
      </c>
      <c r="P47" s="3">
        <v>-0.67518541274399202</v>
      </c>
      <c r="Q47" s="3">
        <v>0.99225748892677701</v>
      </c>
      <c r="R47">
        <f t="shared" si="0"/>
        <v>-0.37510300707999555</v>
      </c>
      <c r="S47">
        <f t="shared" si="1"/>
        <v>0.55125416051487608</v>
      </c>
      <c r="V47">
        <v>2</v>
      </c>
      <c r="W47" s="3">
        <v>-2.5687368651200799</v>
      </c>
      <c r="X47" s="3">
        <v>1.0602436517120899</v>
      </c>
      <c r="Y47" t="str">
        <f t="shared" ref="Y47:Y57" si="5">V47&amp;":  "&amp;   "["&amp;W47&amp;", "&amp;X47&amp;"]"</f>
        <v>2:  [-2.56873686512008, 1.06024365171209]</v>
      </c>
    </row>
    <row r="48" spans="1:25" x14ac:dyDescent="0.25">
      <c r="A48" t="s">
        <v>26</v>
      </c>
      <c r="B48">
        <v>-9.2051762518813298</v>
      </c>
      <c r="C48">
        <v>1.3102965323614799</v>
      </c>
      <c r="D48">
        <v>-7.02526185831488</v>
      </c>
      <c r="E48" s="1">
        <v>5.7811858535305599E-12</v>
      </c>
      <c r="F48">
        <v>-11.7784667395202</v>
      </c>
      <c r="G48">
        <v>-6.6318857642424396</v>
      </c>
      <c r="H48" t="s">
        <v>20</v>
      </c>
      <c r="I48" t="s">
        <v>22</v>
      </c>
      <c r="N48" t="s">
        <v>9</v>
      </c>
      <c r="O48" t="s">
        <v>18</v>
      </c>
      <c r="P48" s="3">
        <v>-2.6729906333214402</v>
      </c>
      <c r="Q48" s="3">
        <v>1.0389586573060701</v>
      </c>
      <c r="R48">
        <f t="shared" si="0"/>
        <v>-1.484994796289689</v>
      </c>
      <c r="S48">
        <f t="shared" si="1"/>
        <v>0.5771992540589278</v>
      </c>
      <c r="V48">
        <v>3</v>
      </c>
      <c r="W48" s="3">
        <v>-2.7374753744495601</v>
      </c>
      <c r="X48" s="3">
        <v>1.0663730049118201</v>
      </c>
      <c r="Y48" t="str">
        <f t="shared" si="5"/>
        <v>3:  [-2.73747537444956, 1.06637300491182]</v>
      </c>
    </row>
    <row r="49" spans="1:25" x14ac:dyDescent="0.25">
      <c r="A49" t="s">
        <v>27</v>
      </c>
      <c r="B49">
        <v>1.1579154249067201</v>
      </c>
      <c r="C49">
        <v>2.5412153524802E-2</v>
      </c>
      <c r="D49">
        <v>45.565419073067098</v>
      </c>
      <c r="E49" s="1">
        <v>1.35762479198772E-197</v>
      </c>
      <c r="F49">
        <v>1.1080085135162601</v>
      </c>
      <c r="G49">
        <v>1.2078223362971801</v>
      </c>
      <c r="H49" t="s">
        <v>20</v>
      </c>
      <c r="I49" t="s">
        <v>22</v>
      </c>
      <c r="N49" t="s">
        <v>9</v>
      </c>
      <c r="O49" t="s">
        <v>19</v>
      </c>
      <c r="P49" s="3">
        <v>-2.5617517187387799E-2</v>
      </c>
      <c r="Q49" s="3">
        <v>1.0023218039634401</v>
      </c>
      <c r="R49">
        <f t="shared" si="0"/>
        <v>-1.4231953992993221E-2</v>
      </c>
      <c r="S49">
        <f t="shared" si="1"/>
        <v>0.5568454466463556</v>
      </c>
      <c r="V49">
        <v>4</v>
      </c>
      <c r="W49" s="3">
        <v>-3.0933750833265798</v>
      </c>
      <c r="X49" s="3">
        <v>1.07408245810207</v>
      </c>
      <c r="Y49" t="str">
        <f t="shared" si="5"/>
        <v>4:  [-3.09337508332658, 1.07408245810207]</v>
      </c>
    </row>
    <row r="50" spans="1:25" x14ac:dyDescent="0.25">
      <c r="A50" t="s">
        <v>26</v>
      </c>
      <c r="B50">
        <v>2.5007119519293699</v>
      </c>
      <c r="C50">
        <v>0.85983955290771996</v>
      </c>
      <c r="D50">
        <v>2.90834719509321</v>
      </c>
      <c r="E50">
        <v>3.7821276351972201E-3</v>
      </c>
      <c r="F50">
        <v>0.81169266367056903</v>
      </c>
      <c r="G50">
        <v>4.1897312401881699</v>
      </c>
      <c r="H50" t="s">
        <v>8</v>
      </c>
      <c r="I50" t="s">
        <v>23</v>
      </c>
      <c r="N50" t="s">
        <v>9</v>
      </c>
      <c r="O50" t="s">
        <v>20</v>
      </c>
      <c r="P50" s="3">
        <v>4.9352783885571299</v>
      </c>
      <c r="Q50" s="3">
        <v>0.90982133603247495</v>
      </c>
      <c r="R50">
        <f t="shared" si="0"/>
        <v>2.7418213269761833</v>
      </c>
      <c r="S50">
        <f t="shared" si="1"/>
        <v>0.50545629779581935</v>
      </c>
      <c r="V50">
        <v>5</v>
      </c>
      <c r="W50" s="3">
        <v>-5.4904884084839702</v>
      </c>
      <c r="X50" s="3">
        <v>1.1218474111394301</v>
      </c>
      <c r="Y50" t="str">
        <f t="shared" si="5"/>
        <v>5:  [-5.49048840848397, 1.12184741113943]</v>
      </c>
    </row>
    <row r="51" spans="1:25" x14ac:dyDescent="0.25">
      <c r="A51" t="s">
        <v>27</v>
      </c>
      <c r="B51">
        <v>0.93918896151266895</v>
      </c>
      <c r="C51">
        <v>1.77546088114015E-2</v>
      </c>
      <c r="D51">
        <v>52.898319049955496</v>
      </c>
      <c r="E51" s="1">
        <v>2.13892067303295E-216</v>
      </c>
      <c r="F51">
        <v>0.90431283068507795</v>
      </c>
      <c r="G51">
        <v>0.97406509234025995</v>
      </c>
      <c r="H51" t="s">
        <v>8</v>
      </c>
      <c r="I51" t="s">
        <v>23</v>
      </c>
      <c r="N51" t="s">
        <v>24</v>
      </c>
      <c r="O51" t="s">
        <v>8</v>
      </c>
      <c r="P51" s="3">
        <v>-0.12662972053508201</v>
      </c>
      <c r="Q51" s="3">
        <v>1.0019881394939301</v>
      </c>
      <c r="R51">
        <f t="shared" si="0"/>
        <v>-7.0349844741712228E-2</v>
      </c>
      <c r="S51">
        <f t="shared" si="1"/>
        <v>0.55666007749662783</v>
      </c>
      <c r="V51">
        <v>6</v>
      </c>
      <c r="W51" s="3">
        <v>-5.6649889272781104</v>
      </c>
      <c r="X51" s="3">
        <v>1.13016877878678</v>
      </c>
      <c r="Y51" t="str">
        <f t="shared" si="5"/>
        <v>6:  [-5.66498892727811, 1.13016877878678]</v>
      </c>
    </row>
    <row r="52" spans="1:25" x14ac:dyDescent="0.25">
      <c r="A52" t="s">
        <v>26</v>
      </c>
      <c r="B52">
        <v>-0.96054269750471699</v>
      </c>
      <c r="C52">
        <v>0.640279700117386</v>
      </c>
      <c r="D52">
        <v>-1.5001923336451499</v>
      </c>
      <c r="E52">
        <v>0.134171480201349</v>
      </c>
      <c r="F52">
        <v>-2.2183955392549799</v>
      </c>
      <c r="G52">
        <v>0.29731014424554503</v>
      </c>
      <c r="H52" t="s">
        <v>10</v>
      </c>
      <c r="I52" t="s">
        <v>23</v>
      </c>
      <c r="N52" t="s">
        <v>24</v>
      </c>
      <c r="O52" t="s">
        <v>10</v>
      </c>
      <c r="P52" s="3">
        <v>-0.929765939902643</v>
      </c>
      <c r="Q52" s="3">
        <v>1.02143214326808</v>
      </c>
      <c r="R52">
        <f t="shared" si="0"/>
        <v>-0.51653663327924615</v>
      </c>
      <c r="S52">
        <f t="shared" si="1"/>
        <v>0.56746230181559998</v>
      </c>
      <c r="V52">
        <v>7</v>
      </c>
      <c r="W52" s="3">
        <v>-4.4125561759624699</v>
      </c>
      <c r="X52" s="3">
        <v>1.10986740285323</v>
      </c>
      <c r="Y52" t="str">
        <f t="shared" si="5"/>
        <v>7:  [-4.41255617596247, 1.10986740285323]</v>
      </c>
    </row>
    <row r="53" spans="1:25" x14ac:dyDescent="0.25">
      <c r="A53" t="s">
        <v>27</v>
      </c>
      <c r="B53">
        <v>1.0190573550490101</v>
      </c>
      <c r="C53">
        <v>1.31719906263549E-2</v>
      </c>
      <c r="D53">
        <v>77.365478305917804</v>
      </c>
      <c r="E53" s="1">
        <v>1.8667086216893199E-287</v>
      </c>
      <c r="F53">
        <v>0.99318049867228997</v>
      </c>
      <c r="G53">
        <v>1.0449342114257301</v>
      </c>
      <c r="H53" t="s">
        <v>10</v>
      </c>
      <c r="I53" t="s">
        <v>23</v>
      </c>
      <c r="N53" t="s">
        <v>24</v>
      </c>
      <c r="O53" t="s">
        <v>11</v>
      </c>
      <c r="P53" s="3">
        <v>-0.49851854321894301</v>
      </c>
      <c r="Q53" s="3">
        <v>1.01196932046447</v>
      </c>
      <c r="R53">
        <f t="shared" si="0"/>
        <v>-0.27695474623274613</v>
      </c>
      <c r="S53">
        <f t="shared" si="1"/>
        <v>0.5622051780358166</v>
      </c>
      <c r="V53">
        <v>8</v>
      </c>
      <c r="W53" s="3">
        <v>-1.31603090927411</v>
      </c>
      <c r="X53" s="3">
        <v>1.05367039629974</v>
      </c>
      <c r="Y53" t="str">
        <f t="shared" si="5"/>
        <v>8:  [-1.31603090927411, 1.05367039629974]</v>
      </c>
    </row>
    <row r="54" spans="1:25" x14ac:dyDescent="0.25">
      <c r="A54" t="s">
        <v>26</v>
      </c>
      <c r="B54">
        <v>-5.1387071253535304</v>
      </c>
      <c r="C54">
        <v>0.62509927898200701</v>
      </c>
      <c r="D54">
        <v>-8.2206255840225406</v>
      </c>
      <c r="E54" s="1">
        <v>1.2762392879224401E-15</v>
      </c>
      <c r="F54">
        <v>-6.3663806801338501</v>
      </c>
      <c r="G54">
        <v>-3.91103357057322</v>
      </c>
      <c r="H54" t="s">
        <v>11</v>
      </c>
      <c r="I54" t="s">
        <v>23</v>
      </c>
      <c r="N54" t="s">
        <v>24</v>
      </c>
      <c r="O54" t="s">
        <v>12</v>
      </c>
      <c r="P54" s="3">
        <v>-2.1144873824922801</v>
      </c>
      <c r="Q54" s="3">
        <v>1.0436798976605901</v>
      </c>
      <c r="R54">
        <f t="shared" si="0"/>
        <v>-1.1747152124957112</v>
      </c>
      <c r="S54">
        <f t="shared" si="1"/>
        <v>0.57982216536699449</v>
      </c>
      <c r="V54">
        <v>9</v>
      </c>
      <c r="W54" s="3">
        <v>5.84069789600672</v>
      </c>
      <c r="X54" s="3">
        <v>0.92278907630234097</v>
      </c>
      <c r="Y54" t="str">
        <f t="shared" si="5"/>
        <v>9:  [5.84069789600672, 0.922789076302341]</v>
      </c>
    </row>
    <row r="55" spans="1:25" x14ac:dyDescent="0.25">
      <c r="A55" t="s">
        <v>27</v>
      </c>
      <c r="B55">
        <v>1.1124280998965601</v>
      </c>
      <c r="C55">
        <v>1.2341782221623699E-2</v>
      </c>
      <c r="D55">
        <v>90.135126347270898</v>
      </c>
      <c r="E55">
        <v>0</v>
      </c>
      <c r="F55">
        <v>1.0881892627041301</v>
      </c>
      <c r="G55">
        <v>1.1366669370889799</v>
      </c>
      <c r="H55" t="s">
        <v>11</v>
      </c>
      <c r="I55" t="s">
        <v>23</v>
      </c>
      <c r="N55" t="s">
        <v>24</v>
      </c>
      <c r="O55" t="s">
        <v>13</v>
      </c>
      <c r="P55" s="3">
        <v>-3.0206605813356</v>
      </c>
      <c r="Q55" s="3">
        <v>1.0611556721069799</v>
      </c>
      <c r="R55">
        <f t="shared" si="0"/>
        <v>-1.6781447674086667</v>
      </c>
      <c r="S55">
        <f t="shared" si="1"/>
        <v>0.58953092894832215</v>
      </c>
      <c r="V55">
        <v>10</v>
      </c>
      <c r="W55" s="3">
        <v>0.34182315696521298</v>
      </c>
      <c r="X55" s="3">
        <v>1.0057474668517301</v>
      </c>
      <c r="Y55" t="str">
        <f t="shared" si="5"/>
        <v>10:  [0.341823156965213, 1.00574746685173]</v>
      </c>
    </row>
    <row r="56" spans="1:25" x14ac:dyDescent="0.25">
      <c r="A56" t="s">
        <v>26</v>
      </c>
      <c r="B56">
        <v>-8.0224052283315501</v>
      </c>
      <c r="C56">
        <v>0.72185754002898295</v>
      </c>
      <c r="D56">
        <v>-11.1135574313035</v>
      </c>
      <c r="E56" s="1">
        <v>3.5430513022549402E-26</v>
      </c>
      <c r="F56">
        <v>-9.4401382268756002</v>
      </c>
      <c r="G56">
        <v>-6.6046722297875</v>
      </c>
      <c r="H56" t="s">
        <v>12</v>
      </c>
      <c r="I56" t="s">
        <v>23</v>
      </c>
      <c r="N56" t="s">
        <v>24</v>
      </c>
      <c r="O56" t="s">
        <v>14</v>
      </c>
      <c r="P56" s="3">
        <v>-2.9378895017080202</v>
      </c>
      <c r="Q56" s="3">
        <v>1.06047388589193</v>
      </c>
      <c r="R56">
        <f t="shared" si="0"/>
        <v>-1.6321608342822334</v>
      </c>
      <c r="S56">
        <f t="shared" si="1"/>
        <v>0.58915215882884997</v>
      </c>
      <c r="V56">
        <v>11</v>
      </c>
      <c r="W56" s="3">
        <v>-2.8765931345161402</v>
      </c>
      <c r="X56" s="3">
        <v>1.0546382611599301</v>
      </c>
      <c r="Y56" t="str">
        <f t="shared" si="5"/>
        <v>11:  [-2.87659313451614, 1.05463826115993]</v>
      </c>
    </row>
    <row r="57" spans="1:25" x14ac:dyDescent="0.25">
      <c r="A57" t="s">
        <v>27</v>
      </c>
      <c r="B57">
        <v>1.1718118371953901</v>
      </c>
      <c r="C57">
        <v>1.3601285109458501E-2</v>
      </c>
      <c r="D57">
        <v>86.154494061777797</v>
      </c>
      <c r="E57">
        <v>0</v>
      </c>
      <c r="F57">
        <v>1.1450988229882999</v>
      </c>
      <c r="G57">
        <v>1.19852485140247</v>
      </c>
      <c r="H57" t="s">
        <v>12</v>
      </c>
      <c r="I57" t="s">
        <v>23</v>
      </c>
      <c r="N57" t="s">
        <v>24</v>
      </c>
      <c r="O57" t="s">
        <v>15</v>
      </c>
      <c r="P57" s="3">
        <v>-1.3170917445128001</v>
      </c>
      <c r="Q57" s="3">
        <v>1.03260403250815</v>
      </c>
      <c r="R57">
        <f t="shared" si="0"/>
        <v>-0.73171763584044447</v>
      </c>
      <c r="S57">
        <f t="shared" si="1"/>
        <v>0.57366890694897221</v>
      </c>
      <c r="V57">
        <v>12</v>
      </c>
      <c r="W57" s="3">
        <v>-2.8598468136555</v>
      </c>
      <c r="X57" s="3">
        <v>1.0535973312093301</v>
      </c>
      <c r="Y57" t="str">
        <f t="shared" si="5"/>
        <v>12:  [-2.8598468136555, 1.05359733120933]</v>
      </c>
    </row>
    <row r="58" spans="1:25" x14ac:dyDescent="0.25">
      <c r="A58" t="s">
        <v>26</v>
      </c>
      <c r="B58">
        <v>-1.69087455258574</v>
      </c>
      <c r="C58">
        <v>0.71391906318162002</v>
      </c>
      <c r="D58">
        <v>-2.3684401212796602</v>
      </c>
      <c r="E58">
        <v>1.8171433727914601E-2</v>
      </c>
      <c r="F58">
        <v>-3.0928893765976802</v>
      </c>
      <c r="G58">
        <v>-0.28885972857380399</v>
      </c>
      <c r="H58" t="s">
        <v>13</v>
      </c>
      <c r="I58" t="s">
        <v>23</v>
      </c>
      <c r="N58" t="s">
        <v>24</v>
      </c>
      <c r="O58" t="s">
        <v>16</v>
      </c>
      <c r="P58" s="3">
        <v>0.29019915085648601</v>
      </c>
      <c r="Q58" s="3">
        <v>1.0042815929126101</v>
      </c>
      <c r="R58">
        <f t="shared" si="0"/>
        <v>0.16122175047582557</v>
      </c>
      <c r="S58">
        <f t="shared" si="1"/>
        <v>0.5579342182847834</v>
      </c>
    </row>
    <row r="59" spans="1:25" x14ac:dyDescent="0.25">
      <c r="A59" t="s">
        <v>27</v>
      </c>
      <c r="B59">
        <v>1.0596333228802099</v>
      </c>
      <c r="C59">
        <v>1.3223168330037701E-2</v>
      </c>
      <c r="D59">
        <v>80.134601362757905</v>
      </c>
      <c r="E59">
        <v>0</v>
      </c>
      <c r="F59">
        <v>1.0336652839592499</v>
      </c>
      <c r="G59">
        <v>1.0856013618011799</v>
      </c>
      <c r="H59" t="s">
        <v>13</v>
      </c>
      <c r="I59" t="s">
        <v>23</v>
      </c>
      <c r="N59" t="s">
        <v>24</v>
      </c>
      <c r="O59" t="s">
        <v>17</v>
      </c>
      <c r="P59" s="3">
        <v>0.84067456581254496</v>
      </c>
      <c r="Q59" s="3">
        <v>0.992765304034393</v>
      </c>
      <c r="R59">
        <f t="shared" si="0"/>
        <v>0.46704142545141386</v>
      </c>
      <c r="S59">
        <f t="shared" si="1"/>
        <v>0.55153628001910726</v>
      </c>
    </row>
    <row r="60" spans="1:25" x14ac:dyDescent="0.25">
      <c r="A60" t="s">
        <v>26</v>
      </c>
      <c r="B60">
        <v>-0.92400392839276302</v>
      </c>
      <c r="C60">
        <v>0.63816833311938004</v>
      </c>
      <c r="D60">
        <v>-1.44789999822807</v>
      </c>
      <c r="E60">
        <v>0.148176186352725</v>
      </c>
      <c r="F60">
        <v>-2.17736200619122</v>
      </c>
      <c r="G60">
        <v>0.32935414940569102</v>
      </c>
      <c r="H60" t="s">
        <v>14</v>
      </c>
      <c r="I60" t="s">
        <v>23</v>
      </c>
      <c r="N60" t="s">
        <v>24</v>
      </c>
      <c r="O60" t="s">
        <v>18</v>
      </c>
      <c r="P60" s="3">
        <v>-0.68793458964835597</v>
      </c>
      <c r="Q60" s="3">
        <v>1.01605388366323</v>
      </c>
      <c r="R60">
        <f t="shared" si="0"/>
        <v>-0.38218588313797552</v>
      </c>
      <c r="S60">
        <f t="shared" si="1"/>
        <v>0.5644743798129056</v>
      </c>
    </row>
    <row r="61" spans="1:25" x14ac:dyDescent="0.25">
      <c r="A61" t="s">
        <v>27</v>
      </c>
      <c r="B61">
        <v>1.04650397899182</v>
      </c>
      <c r="C61">
        <v>1.17402953730715E-2</v>
      </c>
      <c r="D61">
        <v>89.1377896157679</v>
      </c>
      <c r="E61">
        <v>0</v>
      </c>
      <c r="F61">
        <v>1.02344612218834</v>
      </c>
      <c r="G61">
        <v>1.0695618357952901</v>
      </c>
      <c r="H61" t="s">
        <v>14</v>
      </c>
      <c r="I61" t="s">
        <v>23</v>
      </c>
      <c r="N61" t="s">
        <v>24</v>
      </c>
      <c r="O61" t="s">
        <v>19</v>
      </c>
      <c r="P61" s="3">
        <v>-1.5428868125551201</v>
      </c>
      <c r="Q61" s="3">
        <v>1.0265370670988501</v>
      </c>
      <c r="R61">
        <f t="shared" si="0"/>
        <v>-0.85715934030840002</v>
      </c>
      <c r="S61">
        <f t="shared" si="1"/>
        <v>0.57029837061047228</v>
      </c>
    </row>
    <row r="62" spans="1:25" x14ac:dyDescent="0.25">
      <c r="A62" t="s">
        <v>26</v>
      </c>
      <c r="B62">
        <v>-0.113762752273576</v>
      </c>
      <c r="C62">
        <v>0.59462133047207899</v>
      </c>
      <c r="D62">
        <v>-0.191319662520782</v>
      </c>
      <c r="E62">
        <v>0.84833861148397705</v>
      </c>
      <c r="F62">
        <v>-1.2815085390238701</v>
      </c>
      <c r="G62">
        <v>1.05398303447671</v>
      </c>
      <c r="H62" t="s">
        <v>15</v>
      </c>
      <c r="I62" t="s">
        <v>23</v>
      </c>
      <c r="N62" t="s">
        <v>24</v>
      </c>
      <c r="O62" t="s">
        <v>20</v>
      </c>
      <c r="P62" s="3">
        <v>-0.47772037343813401</v>
      </c>
      <c r="Q62" s="3">
        <v>1.0063481700157499</v>
      </c>
      <c r="R62">
        <f t="shared" si="0"/>
        <v>-0.26540020746562998</v>
      </c>
      <c r="S62">
        <f t="shared" si="1"/>
        <v>0.55908231667541664</v>
      </c>
    </row>
    <row r="63" spans="1:25" x14ac:dyDescent="0.25">
      <c r="A63" t="s">
        <v>27</v>
      </c>
      <c r="B63">
        <v>1.02695565950859</v>
      </c>
      <c r="C63">
        <v>1.08442560073219E-2</v>
      </c>
      <c r="D63">
        <v>94.700425627649906</v>
      </c>
      <c r="E63">
        <v>0</v>
      </c>
      <c r="F63">
        <v>1.0056591912958901</v>
      </c>
      <c r="G63">
        <v>1.04825212772129</v>
      </c>
      <c r="H63" t="s">
        <v>15</v>
      </c>
      <c r="I63" t="s">
        <v>23</v>
      </c>
    </row>
    <row r="64" spans="1:25" x14ac:dyDescent="0.25">
      <c r="A64" t="s">
        <v>26</v>
      </c>
      <c r="B64">
        <v>1.44012553176629</v>
      </c>
      <c r="C64">
        <v>0.44172377643521499</v>
      </c>
      <c r="D64">
        <v>3.2602400155779301</v>
      </c>
      <c r="E64">
        <v>1.1729673324301899E-3</v>
      </c>
      <c r="F64">
        <v>0.57270166136210199</v>
      </c>
      <c r="G64">
        <v>2.3075494021704701</v>
      </c>
      <c r="H64" t="s">
        <v>16</v>
      </c>
      <c r="I64" t="s">
        <v>23</v>
      </c>
    </row>
    <row r="65" spans="1:9" x14ac:dyDescent="0.25">
      <c r="A65" t="s">
        <v>27</v>
      </c>
      <c r="B65">
        <v>0.99557256283343798</v>
      </c>
      <c r="C65">
        <v>8.0297280286613405E-3</v>
      </c>
      <c r="D65">
        <v>123.98583853398701</v>
      </c>
      <c r="E65">
        <v>0</v>
      </c>
      <c r="F65">
        <v>0.97980438793209002</v>
      </c>
      <c r="G65">
        <v>1.0113407377347901</v>
      </c>
      <c r="H65" t="s">
        <v>16</v>
      </c>
      <c r="I65" t="s">
        <v>23</v>
      </c>
    </row>
    <row r="66" spans="1:9" x14ac:dyDescent="0.25">
      <c r="A66" t="s">
        <v>26</v>
      </c>
      <c r="B66">
        <v>1.40406255272022</v>
      </c>
      <c r="C66">
        <v>0.338877332384379</v>
      </c>
      <c r="D66">
        <v>4.1432766920144104</v>
      </c>
      <c r="E66" s="1">
        <v>3.9001573321306203E-5</v>
      </c>
      <c r="F66">
        <v>0.73857396407921305</v>
      </c>
      <c r="G66">
        <v>2.0695511413612202</v>
      </c>
      <c r="H66" t="s">
        <v>17</v>
      </c>
      <c r="I66" t="s">
        <v>23</v>
      </c>
    </row>
    <row r="67" spans="1:9" x14ac:dyDescent="0.25">
      <c r="A67" t="s">
        <v>27</v>
      </c>
      <c r="B67">
        <v>0.99335898676961898</v>
      </c>
      <c r="C67">
        <v>6.1231009416947701E-3</v>
      </c>
      <c r="D67">
        <v>162.23135895170699</v>
      </c>
      <c r="E67">
        <v>0</v>
      </c>
      <c r="F67">
        <v>0.98133441795256704</v>
      </c>
      <c r="G67">
        <v>1.0053835555866699</v>
      </c>
      <c r="H67" t="s">
        <v>17</v>
      </c>
      <c r="I67" t="s">
        <v>23</v>
      </c>
    </row>
    <row r="68" spans="1:9" x14ac:dyDescent="0.25">
      <c r="A68" t="s">
        <v>26</v>
      </c>
      <c r="B68">
        <v>2.6747651572245301</v>
      </c>
      <c r="C68">
        <v>0.37110436597426499</v>
      </c>
      <c r="D68">
        <v>7.2075820240013302</v>
      </c>
      <c r="E68" s="1">
        <v>1.5903798556101399E-12</v>
      </c>
      <c r="F68">
        <v>1.9460528868692499</v>
      </c>
      <c r="G68">
        <v>3.4034774275798099</v>
      </c>
      <c r="H68" t="s">
        <v>18</v>
      </c>
      <c r="I68" t="s">
        <v>23</v>
      </c>
    </row>
    <row r="69" spans="1:9" x14ac:dyDescent="0.25">
      <c r="A69" t="s">
        <v>27</v>
      </c>
      <c r="B69">
        <v>0.960079936897131</v>
      </c>
      <c r="C69">
        <v>6.6989453248280997E-3</v>
      </c>
      <c r="D69">
        <v>143.318073270253</v>
      </c>
      <c r="E69">
        <v>0</v>
      </c>
      <c r="F69">
        <v>0.946925675982346</v>
      </c>
      <c r="G69">
        <v>0.973234197811916</v>
      </c>
      <c r="H69" t="s">
        <v>18</v>
      </c>
      <c r="I69" t="s">
        <v>23</v>
      </c>
    </row>
    <row r="70" spans="1:9" x14ac:dyDescent="0.25">
      <c r="A70" t="s">
        <v>26</v>
      </c>
      <c r="B70">
        <v>2.7456218040791498</v>
      </c>
      <c r="C70">
        <v>0.53505778893825495</v>
      </c>
      <c r="D70">
        <v>5.1314490898776404</v>
      </c>
      <c r="E70" s="1">
        <v>3.8534914182918501E-7</v>
      </c>
      <c r="F70">
        <v>1.69487329193609</v>
      </c>
      <c r="G70">
        <v>3.7963703162222102</v>
      </c>
      <c r="H70" t="s">
        <v>19</v>
      </c>
      <c r="I70" t="s">
        <v>23</v>
      </c>
    </row>
    <row r="71" spans="1:9" x14ac:dyDescent="0.25">
      <c r="A71" t="s">
        <v>27</v>
      </c>
      <c r="B71">
        <v>0.94736452982875297</v>
      </c>
      <c r="C71">
        <v>9.9261100128196292E-3</v>
      </c>
      <c r="D71">
        <v>95.441671370277703</v>
      </c>
      <c r="E71">
        <v>0</v>
      </c>
      <c r="F71">
        <v>0.92787159739610003</v>
      </c>
      <c r="G71">
        <v>0.96685746226140701</v>
      </c>
      <c r="H71" t="s">
        <v>19</v>
      </c>
      <c r="I71" t="s">
        <v>23</v>
      </c>
    </row>
    <row r="72" spans="1:9" x14ac:dyDescent="0.25">
      <c r="A72" t="s">
        <v>26</v>
      </c>
      <c r="B72">
        <v>4.2484708183150799</v>
      </c>
      <c r="C72">
        <v>0.77649530344275297</v>
      </c>
      <c r="D72">
        <v>5.4713412939892896</v>
      </c>
      <c r="E72" s="1">
        <v>6.5505505816938497E-8</v>
      </c>
      <c r="F72">
        <v>2.7235122087976098</v>
      </c>
      <c r="G72">
        <v>5.7734294278325402</v>
      </c>
      <c r="H72" t="s">
        <v>20</v>
      </c>
      <c r="I72" t="s">
        <v>23</v>
      </c>
    </row>
    <row r="73" spans="1:9" x14ac:dyDescent="0.25">
      <c r="A73" t="s">
        <v>27</v>
      </c>
      <c r="B73">
        <v>0.90396024546964304</v>
      </c>
      <c r="C73">
        <v>1.53721728282161E-2</v>
      </c>
      <c r="D73">
        <v>58.804975430044202</v>
      </c>
      <c r="E73" s="1">
        <v>3.7928205699107299E-252</v>
      </c>
      <c r="F73">
        <v>0.87377084548558104</v>
      </c>
      <c r="G73">
        <v>0.93414964545370405</v>
      </c>
      <c r="H73" t="s">
        <v>20</v>
      </c>
      <c r="I73" t="s">
        <v>23</v>
      </c>
    </row>
    <row r="74" spans="1:9" x14ac:dyDescent="0.25">
      <c r="A74" t="s">
        <v>26</v>
      </c>
      <c r="B74">
        <v>-0.12662972053508201</v>
      </c>
      <c r="C74">
        <v>0.25299634611273297</v>
      </c>
      <c r="D74">
        <v>-0.500519958018115</v>
      </c>
      <c r="E74">
        <v>0.61686588373506801</v>
      </c>
      <c r="F74">
        <v>-0.62334984952535999</v>
      </c>
      <c r="G74">
        <v>0.37009040845519697</v>
      </c>
      <c r="H74" t="s">
        <v>8</v>
      </c>
      <c r="I74" t="s">
        <v>24</v>
      </c>
    </row>
    <row r="75" spans="1:9" x14ac:dyDescent="0.25">
      <c r="A75" t="s">
        <v>27</v>
      </c>
      <c r="B75">
        <v>1.0019881394939301</v>
      </c>
      <c r="C75">
        <v>5.2395709356262803E-3</v>
      </c>
      <c r="D75">
        <v>191.23476937413901</v>
      </c>
      <c r="E75">
        <v>0</v>
      </c>
      <c r="F75">
        <v>0.99170103301596502</v>
      </c>
      <c r="G75">
        <v>1.0122752459719</v>
      </c>
      <c r="H75" t="s">
        <v>8</v>
      </c>
      <c r="I75" t="s">
        <v>24</v>
      </c>
    </row>
    <row r="76" spans="1:9" x14ac:dyDescent="0.25">
      <c r="A76" t="s">
        <v>26</v>
      </c>
      <c r="B76">
        <v>-0.929765939902643</v>
      </c>
      <c r="C76">
        <v>0.23326538412970499</v>
      </c>
      <c r="D76">
        <v>-3.98587190024584</v>
      </c>
      <c r="E76" s="1">
        <v>7.5051321183900301E-5</v>
      </c>
      <c r="F76">
        <v>-1.3878321533346201</v>
      </c>
      <c r="G76">
        <v>-0.47169972647066799</v>
      </c>
      <c r="H76" t="s">
        <v>10</v>
      </c>
      <c r="I76" t="s">
        <v>24</v>
      </c>
    </row>
    <row r="77" spans="1:9" x14ac:dyDescent="0.25">
      <c r="A77" t="s">
        <v>27</v>
      </c>
      <c r="B77">
        <v>1.02143214326808</v>
      </c>
      <c r="C77">
        <v>4.7813503192089598E-3</v>
      </c>
      <c r="D77">
        <v>213.62838425883501</v>
      </c>
      <c r="E77">
        <v>0</v>
      </c>
      <c r="F77">
        <v>1.0120429445921399</v>
      </c>
      <c r="G77">
        <v>1.03082134194401</v>
      </c>
      <c r="H77" t="s">
        <v>10</v>
      </c>
      <c r="I77" t="s">
        <v>24</v>
      </c>
    </row>
    <row r="78" spans="1:9" x14ac:dyDescent="0.25">
      <c r="A78" t="s">
        <v>26</v>
      </c>
      <c r="B78">
        <v>-0.49851854321894301</v>
      </c>
      <c r="C78">
        <v>0.352550467043937</v>
      </c>
      <c r="D78">
        <v>-1.4140345562407499</v>
      </c>
      <c r="E78">
        <v>0.15781903432945699</v>
      </c>
      <c r="F78">
        <v>-1.1907627815793</v>
      </c>
      <c r="G78">
        <v>0.19372569514141699</v>
      </c>
      <c r="H78" t="s">
        <v>11</v>
      </c>
      <c r="I78" t="s">
        <v>24</v>
      </c>
    </row>
    <row r="79" spans="1:9" x14ac:dyDescent="0.25">
      <c r="A79" t="s">
        <v>27</v>
      </c>
      <c r="B79">
        <v>1.01196932046447</v>
      </c>
      <c r="C79">
        <v>6.8579908325085799E-3</v>
      </c>
      <c r="D79">
        <v>147.56061143556499</v>
      </c>
      <c r="E79">
        <v>0</v>
      </c>
      <c r="F79">
        <v>0.99850343377783601</v>
      </c>
      <c r="G79">
        <v>1.0254352071510999</v>
      </c>
      <c r="H79" t="s">
        <v>11</v>
      </c>
      <c r="I79" t="s">
        <v>24</v>
      </c>
    </row>
    <row r="80" spans="1:9" x14ac:dyDescent="0.25">
      <c r="A80" t="s">
        <v>26</v>
      </c>
      <c r="B80">
        <v>-2.1144873824922801</v>
      </c>
      <c r="C80">
        <v>0.26672955792118602</v>
      </c>
      <c r="D80">
        <v>-7.9274580551626501</v>
      </c>
      <c r="E80" s="1">
        <v>9.3471453899417399E-15</v>
      </c>
      <c r="F80">
        <v>-2.6382123867462601</v>
      </c>
      <c r="G80">
        <v>-1.5907623782383</v>
      </c>
      <c r="H80" t="s">
        <v>12</v>
      </c>
      <c r="I80" t="s">
        <v>24</v>
      </c>
    </row>
    <row r="81" spans="1:9" x14ac:dyDescent="0.25">
      <c r="A81" t="s">
        <v>27</v>
      </c>
      <c r="B81">
        <v>1.0436798976605901</v>
      </c>
      <c r="C81">
        <v>4.93153580102335E-3</v>
      </c>
      <c r="D81">
        <v>211.633847906775</v>
      </c>
      <c r="E81">
        <v>0</v>
      </c>
      <c r="F81">
        <v>1.0339967990625301</v>
      </c>
      <c r="G81">
        <v>1.0533629962586599</v>
      </c>
      <c r="H81" t="s">
        <v>12</v>
      </c>
      <c r="I81" t="s">
        <v>24</v>
      </c>
    </row>
    <row r="82" spans="1:9" x14ac:dyDescent="0.25">
      <c r="A82" t="s">
        <v>26</v>
      </c>
      <c r="B82">
        <v>-3.0206605813356</v>
      </c>
      <c r="C82">
        <v>0.37547946829060502</v>
      </c>
      <c r="D82">
        <v>-8.0448089347930498</v>
      </c>
      <c r="E82" s="1">
        <v>3.6955973552074602E-15</v>
      </c>
      <c r="F82">
        <v>-3.7578614662430998</v>
      </c>
      <c r="G82">
        <v>-2.2834596964281002</v>
      </c>
      <c r="H82" t="s">
        <v>13</v>
      </c>
      <c r="I82" t="s">
        <v>24</v>
      </c>
    </row>
    <row r="83" spans="1:9" x14ac:dyDescent="0.25">
      <c r="A83" t="s">
        <v>27</v>
      </c>
      <c r="B83">
        <v>1.0611556721069799</v>
      </c>
      <c r="C83">
        <v>6.7784480630021099E-3</v>
      </c>
      <c r="D83">
        <v>156.54846983322599</v>
      </c>
      <c r="E83">
        <v>0</v>
      </c>
      <c r="F83">
        <v>1.0478471470547399</v>
      </c>
      <c r="G83">
        <v>1.0744641971592099</v>
      </c>
      <c r="H83" t="s">
        <v>13</v>
      </c>
      <c r="I83" t="s">
        <v>24</v>
      </c>
    </row>
    <row r="84" spans="1:9" x14ac:dyDescent="0.25">
      <c r="A84" t="s">
        <v>26</v>
      </c>
      <c r="B84">
        <v>-2.9378895017080202</v>
      </c>
      <c r="C84">
        <v>0.37251729717503701</v>
      </c>
      <c r="D84">
        <v>-7.8865854659295804</v>
      </c>
      <c r="E84" s="1">
        <v>1.27458158689259E-14</v>
      </c>
      <c r="F84">
        <v>-3.6693392564657001</v>
      </c>
      <c r="G84">
        <v>-2.2064397469503398</v>
      </c>
      <c r="H84" t="s">
        <v>14</v>
      </c>
      <c r="I84" t="s">
        <v>24</v>
      </c>
    </row>
    <row r="85" spans="1:9" x14ac:dyDescent="0.25">
      <c r="A85" t="s">
        <v>27</v>
      </c>
      <c r="B85">
        <v>1.06047388589193</v>
      </c>
      <c r="C85">
        <v>6.6679707084674198E-3</v>
      </c>
      <c r="D85">
        <v>159.039973667742</v>
      </c>
      <c r="E85">
        <v>0</v>
      </c>
      <c r="F85">
        <v>1.0473811098613199</v>
      </c>
      <c r="G85">
        <v>1.0735666619225399</v>
      </c>
      <c r="H85" t="s">
        <v>14</v>
      </c>
      <c r="I85" t="s">
        <v>24</v>
      </c>
    </row>
    <row r="86" spans="1:9" x14ac:dyDescent="0.25">
      <c r="A86" t="s">
        <v>26</v>
      </c>
      <c r="B86">
        <v>-1.3170917445128001</v>
      </c>
      <c r="C86">
        <v>0.43228245646956398</v>
      </c>
      <c r="D86">
        <v>-3.0468313594528902</v>
      </c>
      <c r="E86">
        <v>2.3964880886786499E-3</v>
      </c>
      <c r="F86">
        <v>-2.1657646304714899</v>
      </c>
      <c r="G86">
        <v>-0.46841885855410198</v>
      </c>
      <c r="H86" t="s">
        <v>15</v>
      </c>
      <c r="I86" t="s">
        <v>24</v>
      </c>
    </row>
    <row r="87" spans="1:9" x14ac:dyDescent="0.25">
      <c r="A87" t="s">
        <v>27</v>
      </c>
      <c r="B87">
        <v>1.03260403250815</v>
      </c>
      <c r="C87">
        <v>7.7092952711457999E-3</v>
      </c>
      <c r="D87">
        <v>133.942727083363</v>
      </c>
      <c r="E87">
        <v>0</v>
      </c>
      <c r="F87">
        <v>1.0174688592700201</v>
      </c>
      <c r="G87">
        <v>1.04773920574628</v>
      </c>
      <c r="H87" t="s">
        <v>15</v>
      </c>
      <c r="I87" t="s">
        <v>24</v>
      </c>
    </row>
    <row r="88" spans="1:9" x14ac:dyDescent="0.25">
      <c r="A88" t="s">
        <v>26</v>
      </c>
      <c r="B88">
        <v>0.29019915085648601</v>
      </c>
      <c r="C88">
        <v>0.63472231387756695</v>
      </c>
      <c r="D88">
        <v>0.45720647362093902</v>
      </c>
      <c r="E88">
        <v>0.64765942319306102</v>
      </c>
      <c r="F88">
        <v>-0.95591114078053296</v>
      </c>
      <c r="G88">
        <v>1.5363094424935</v>
      </c>
      <c r="H88" t="s">
        <v>16</v>
      </c>
      <c r="I88" t="s">
        <v>24</v>
      </c>
    </row>
    <row r="89" spans="1:9" x14ac:dyDescent="0.25">
      <c r="A89" t="s">
        <v>27</v>
      </c>
      <c r="B89">
        <v>1.0042815929126101</v>
      </c>
      <c r="C89">
        <v>1.13069391118724E-2</v>
      </c>
      <c r="D89">
        <v>88.819934641560707</v>
      </c>
      <c r="E89">
        <v>0</v>
      </c>
      <c r="F89">
        <v>0.98208339239852505</v>
      </c>
      <c r="G89">
        <v>1.02647979342669</v>
      </c>
      <c r="H89" t="s">
        <v>16</v>
      </c>
      <c r="I89" t="s">
        <v>24</v>
      </c>
    </row>
    <row r="90" spans="1:9" x14ac:dyDescent="0.25">
      <c r="A90" t="s">
        <v>26</v>
      </c>
      <c r="B90">
        <v>0.84067456581254496</v>
      </c>
      <c r="C90">
        <v>0.60828301413299701</v>
      </c>
      <c r="D90">
        <v>1.38204511104224</v>
      </c>
      <c r="E90">
        <v>0.16740443925312801</v>
      </c>
      <c r="F90">
        <v>-0.353630130361067</v>
      </c>
      <c r="G90">
        <v>2.0349792619861602</v>
      </c>
      <c r="H90" t="s">
        <v>17</v>
      </c>
      <c r="I90" t="s">
        <v>24</v>
      </c>
    </row>
    <row r="91" spans="1:9" x14ac:dyDescent="0.25">
      <c r="A91" t="s">
        <v>27</v>
      </c>
      <c r="B91">
        <v>0.992765304034393</v>
      </c>
      <c r="C91">
        <v>1.0790320794802801E-2</v>
      </c>
      <c r="D91">
        <v>92.005170459117195</v>
      </c>
      <c r="E91">
        <v>0</v>
      </c>
      <c r="F91">
        <v>0.97157955579050803</v>
      </c>
      <c r="G91">
        <v>1.01395105227828</v>
      </c>
      <c r="H91" t="s">
        <v>17</v>
      </c>
      <c r="I91" t="s">
        <v>24</v>
      </c>
    </row>
    <row r="92" spans="1:9" x14ac:dyDescent="0.25">
      <c r="A92" t="s">
        <v>26</v>
      </c>
      <c r="B92">
        <v>-0.68793458964835597</v>
      </c>
      <c r="C92">
        <v>0.30833843198858302</v>
      </c>
      <c r="D92">
        <v>-2.2311023157626702</v>
      </c>
      <c r="E92">
        <v>2.6000596491179799E-2</v>
      </c>
      <c r="F92">
        <v>-1.2933475602351201</v>
      </c>
      <c r="G92">
        <v>-8.2521619061593707E-2</v>
      </c>
      <c r="H92" t="s">
        <v>18</v>
      </c>
      <c r="I92" t="s">
        <v>24</v>
      </c>
    </row>
    <row r="93" spans="1:9" x14ac:dyDescent="0.25">
      <c r="A93" t="s">
        <v>27</v>
      </c>
      <c r="B93">
        <v>1.01605388366323</v>
      </c>
      <c r="C93">
        <v>5.5172209545352102E-3</v>
      </c>
      <c r="D93">
        <v>184.16044817418901</v>
      </c>
      <c r="E93">
        <v>0</v>
      </c>
      <c r="F93">
        <v>1.00522099103312</v>
      </c>
      <c r="G93">
        <v>1.02688677629334</v>
      </c>
      <c r="H93" t="s">
        <v>18</v>
      </c>
      <c r="I93" t="s">
        <v>24</v>
      </c>
    </row>
    <row r="94" spans="1:9" x14ac:dyDescent="0.25">
      <c r="A94" t="s">
        <v>26</v>
      </c>
      <c r="B94">
        <v>-1.5428868125551201</v>
      </c>
      <c r="C94">
        <v>0.27685135157587798</v>
      </c>
      <c r="D94">
        <v>-5.5729791592953601</v>
      </c>
      <c r="E94" s="1">
        <v>3.6042694330901999E-8</v>
      </c>
      <c r="F94">
        <v>-2.08646734806339</v>
      </c>
      <c r="G94">
        <v>-0.99930627704685704</v>
      </c>
      <c r="H94" t="s">
        <v>19</v>
      </c>
      <c r="I94" t="s">
        <v>24</v>
      </c>
    </row>
    <row r="95" spans="1:9" x14ac:dyDescent="0.25">
      <c r="A95" t="s">
        <v>27</v>
      </c>
      <c r="B95">
        <v>1.0265370670988501</v>
      </c>
      <c r="C95">
        <v>5.1405548461192904E-3</v>
      </c>
      <c r="D95">
        <v>199.693826411327</v>
      </c>
      <c r="E95">
        <v>0</v>
      </c>
      <c r="F95">
        <v>1.0164439050457901</v>
      </c>
      <c r="G95">
        <v>1.0366302291519101</v>
      </c>
      <c r="H95" t="s">
        <v>19</v>
      </c>
      <c r="I95" t="s">
        <v>24</v>
      </c>
    </row>
    <row r="96" spans="1:9" x14ac:dyDescent="0.25">
      <c r="A96" t="s">
        <v>26</v>
      </c>
      <c r="B96">
        <v>-0.47772037343813401</v>
      </c>
      <c r="C96">
        <v>0.23598095402317201</v>
      </c>
      <c r="D96">
        <v>-2.0244022464254599</v>
      </c>
      <c r="E96">
        <v>4.3303730843063798E-2</v>
      </c>
      <c r="F96">
        <v>-0.94102656807475704</v>
      </c>
      <c r="G96">
        <v>-1.4414178801511199E-2</v>
      </c>
      <c r="H96" t="s">
        <v>20</v>
      </c>
      <c r="I96" t="s">
        <v>24</v>
      </c>
    </row>
    <row r="97" spans="1:9" x14ac:dyDescent="0.25">
      <c r="A97" t="s">
        <v>27</v>
      </c>
      <c r="B97">
        <v>1.0063481700157499</v>
      </c>
      <c r="C97">
        <v>4.7204170311181404E-3</v>
      </c>
      <c r="D97">
        <v>213.19052180806599</v>
      </c>
      <c r="E97">
        <v>0</v>
      </c>
      <c r="F97">
        <v>0.99708047949031298</v>
      </c>
      <c r="G97">
        <v>1.0156158605412</v>
      </c>
      <c r="H97" t="s">
        <v>20</v>
      </c>
      <c r="I97" t="s">
        <v>24</v>
      </c>
    </row>
    <row r="98" spans="1:9" x14ac:dyDescent="0.25">
      <c r="A98" t="s">
        <v>26</v>
      </c>
      <c r="B98">
        <v>-1.53516497151416</v>
      </c>
      <c r="C98">
        <v>0.40649048989630698</v>
      </c>
      <c r="D98">
        <v>-3.77663195000151</v>
      </c>
      <c r="E98">
        <v>1.7277284669172001E-4</v>
      </c>
      <c r="F98">
        <v>-2.3332818856795501</v>
      </c>
      <c r="G98">
        <v>-0.737048057348763</v>
      </c>
      <c r="H98" t="s">
        <v>8</v>
      </c>
      <c r="I98" t="s">
        <v>25</v>
      </c>
    </row>
    <row r="99" spans="1:9" x14ac:dyDescent="0.25">
      <c r="A99" t="s">
        <v>27</v>
      </c>
      <c r="B99">
        <v>1.03213186737022</v>
      </c>
      <c r="C99">
        <v>8.4321989491764008E-3</v>
      </c>
      <c r="D99">
        <v>122.40364270236201</v>
      </c>
      <c r="E99">
        <v>0</v>
      </c>
      <c r="F99">
        <v>1.01557580819486</v>
      </c>
      <c r="G99">
        <v>1.04868792654558</v>
      </c>
      <c r="H99" t="s">
        <v>8</v>
      </c>
      <c r="I99" t="s">
        <v>25</v>
      </c>
    </row>
    <row r="100" spans="1:9" x14ac:dyDescent="0.25">
      <c r="A100" t="s">
        <v>26</v>
      </c>
      <c r="B100">
        <v>-2.5687368651200799</v>
      </c>
      <c r="C100">
        <v>0.40687443823572</v>
      </c>
      <c r="D100">
        <v>-6.3133404896571399</v>
      </c>
      <c r="E100" s="1">
        <v>4.8837111883435897E-10</v>
      </c>
      <c r="F100">
        <v>-3.3675953586956902</v>
      </c>
      <c r="G100">
        <v>-1.7698783715444599</v>
      </c>
      <c r="H100" t="s">
        <v>10</v>
      </c>
      <c r="I100" t="s">
        <v>25</v>
      </c>
    </row>
    <row r="101" spans="1:9" x14ac:dyDescent="0.25">
      <c r="A101" t="s">
        <v>27</v>
      </c>
      <c r="B101">
        <v>1.0602436517120899</v>
      </c>
      <c r="C101">
        <v>8.3458367233557491E-3</v>
      </c>
      <c r="D101">
        <v>127.03862858292101</v>
      </c>
      <c r="E101">
        <v>0</v>
      </c>
      <c r="F101">
        <v>1.04385741083307</v>
      </c>
      <c r="G101">
        <v>1.07662989259111</v>
      </c>
      <c r="H101" t="s">
        <v>10</v>
      </c>
      <c r="I101" t="s">
        <v>25</v>
      </c>
    </row>
    <row r="102" spans="1:9" x14ac:dyDescent="0.25">
      <c r="A102" t="s">
        <v>26</v>
      </c>
      <c r="B102">
        <v>-2.7374753744495601</v>
      </c>
      <c r="C102">
        <v>0.35491431203936502</v>
      </c>
      <c r="D102">
        <v>-7.7130599741661898</v>
      </c>
      <c r="E102" s="1">
        <v>4.2184831668868299E-14</v>
      </c>
      <c r="F102">
        <v>-3.4342960422790201</v>
      </c>
      <c r="G102">
        <v>-2.04065470662009</v>
      </c>
      <c r="H102" t="s">
        <v>11</v>
      </c>
      <c r="I102" t="s">
        <v>25</v>
      </c>
    </row>
    <row r="103" spans="1:9" x14ac:dyDescent="0.25">
      <c r="A103" t="s">
        <v>27</v>
      </c>
      <c r="B103">
        <v>1.0663730049118201</v>
      </c>
      <c r="C103">
        <v>6.88183533591534E-3</v>
      </c>
      <c r="D103">
        <v>154.95473995818699</v>
      </c>
      <c r="E103">
        <v>0</v>
      </c>
      <c r="F103">
        <v>1.0528615602278599</v>
      </c>
      <c r="G103">
        <v>1.07988444959578</v>
      </c>
      <c r="H103" t="s">
        <v>11</v>
      </c>
      <c r="I103" t="s">
        <v>25</v>
      </c>
    </row>
    <row r="104" spans="1:9" x14ac:dyDescent="0.25">
      <c r="A104" t="s">
        <v>26</v>
      </c>
      <c r="B104">
        <v>-3.0933750833265798</v>
      </c>
      <c r="C104">
        <v>0.45107040625238298</v>
      </c>
      <c r="D104">
        <v>-6.8578542073446904</v>
      </c>
      <c r="E104" s="1">
        <v>1.52801490510828E-11</v>
      </c>
      <c r="F104">
        <v>-3.9789750592643398</v>
      </c>
      <c r="G104">
        <v>-2.2077751073888199</v>
      </c>
      <c r="H104" t="s">
        <v>12</v>
      </c>
      <c r="I104" t="s">
        <v>25</v>
      </c>
    </row>
    <row r="105" spans="1:9" x14ac:dyDescent="0.25">
      <c r="A105" t="s">
        <v>27</v>
      </c>
      <c r="B105">
        <v>1.07408245810207</v>
      </c>
      <c r="C105">
        <v>8.3022429089854299E-3</v>
      </c>
      <c r="D105">
        <v>129.37256472460001</v>
      </c>
      <c r="E105">
        <v>0</v>
      </c>
      <c r="F105">
        <v>1.05778241709181</v>
      </c>
      <c r="G105">
        <v>1.0903824991123201</v>
      </c>
      <c r="H105" t="s">
        <v>12</v>
      </c>
      <c r="I105" t="s">
        <v>25</v>
      </c>
    </row>
    <row r="106" spans="1:9" x14ac:dyDescent="0.25">
      <c r="A106" t="s">
        <v>26</v>
      </c>
      <c r="B106">
        <v>-5.4904884084839702</v>
      </c>
      <c r="C106">
        <v>0.69718808938198196</v>
      </c>
      <c r="D106">
        <v>-7.8751896254438103</v>
      </c>
      <c r="E106" s="1">
        <v>1.30606057492782E-14</v>
      </c>
      <c r="F106">
        <v>-6.8593289213797703</v>
      </c>
      <c r="G106">
        <v>-4.1216478955881701</v>
      </c>
      <c r="H106" t="s">
        <v>13</v>
      </c>
      <c r="I106" t="s">
        <v>25</v>
      </c>
    </row>
    <row r="107" spans="1:9" x14ac:dyDescent="0.25">
      <c r="A107" t="s">
        <v>27</v>
      </c>
      <c r="B107">
        <v>1.1218474111394301</v>
      </c>
      <c r="C107">
        <v>1.24993157104851E-2</v>
      </c>
      <c r="D107">
        <v>89.752706238019101</v>
      </c>
      <c r="E107">
        <v>0</v>
      </c>
      <c r="F107">
        <v>1.09730658781132</v>
      </c>
      <c r="G107">
        <v>1.14638823446754</v>
      </c>
      <c r="H107" t="s">
        <v>13</v>
      </c>
      <c r="I107" t="s">
        <v>25</v>
      </c>
    </row>
    <row r="108" spans="1:9" x14ac:dyDescent="0.25">
      <c r="A108" t="s">
        <v>26</v>
      </c>
      <c r="B108">
        <v>-5.6649889272781104</v>
      </c>
      <c r="C108">
        <v>0.58389946912911195</v>
      </c>
      <c r="D108">
        <v>-9.7019936252510401</v>
      </c>
      <c r="E108" s="1">
        <v>7.2576698968823597E-21</v>
      </c>
      <c r="F108">
        <v>-6.8115623715142002</v>
      </c>
      <c r="G108">
        <v>-4.5184154830420198</v>
      </c>
      <c r="H108" t="s">
        <v>14</v>
      </c>
      <c r="I108" t="s">
        <v>25</v>
      </c>
    </row>
    <row r="109" spans="1:9" x14ac:dyDescent="0.25">
      <c r="A109" t="s">
        <v>27</v>
      </c>
      <c r="B109">
        <v>1.13016877878678</v>
      </c>
      <c r="C109">
        <v>1.0351228848716299E-2</v>
      </c>
      <c r="D109">
        <v>109.18208797276699</v>
      </c>
      <c r="E109">
        <v>0</v>
      </c>
      <c r="F109">
        <v>1.1098426015240199</v>
      </c>
      <c r="G109">
        <v>1.1504949560495401</v>
      </c>
      <c r="H109" t="s">
        <v>14</v>
      </c>
      <c r="I109" t="s">
        <v>25</v>
      </c>
    </row>
    <row r="110" spans="1:9" x14ac:dyDescent="0.25">
      <c r="A110" t="s">
        <v>26</v>
      </c>
      <c r="B110">
        <v>-4.4125561759624699</v>
      </c>
      <c r="C110">
        <v>0.53775934925928703</v>
      </c>
      <c r="D110">
        <v>-8.2054476264157206</v>
      </c>
      <c r="E110" s="1">
        <v>1.0971474503001E-15</v>
      </c>
      <c r="F110">
        <v>-5.4683654689977796</v>
      </c>
      <c r="G110">
        <v>-3.3567468829271698</v>
      </c>
      <c r="H110" t="s">
        <v>15</v>
      </c>
      <c r="I110" t="s">
        <v>25</v>
      </c>
    </row>
    <row r="111" spans="1:9" x14ac:dyDescent="0.25">
      <c r="A111" t="s">
        <v>27</v>
      </c>
      <c r="B111">
        <v>1.10986740285323</v>
      </c>
      <c r="C111">
        <v>9.4815002743954997E-3</v>
      </c>
      <c r="D111">
        <v>117.056095631869</v>
      </c>
      <c r="E111">
        <v>0</v>
      </c>
      <c r="F111">
        <v>1.0912519085518999</v>
      </c>
      <c r="G111">
        <v>1.12848289715456</v>
      </c>
      <c r="H111" t="s">
        <v>15</v>
      </c>
      <c r="I111" t="s">
        <v>25</v>
      </c>
    </row>
    <row r="112" spans="1:9" x14ac:dyDescent="0.25">
      <c r="A112" t="s">
        <v>26</v>
      </c>
      <c r="B112">
        <v>-1.31603090927411</v>
      </c>
      <c r="C112">
        <v>0.51240707311106903</v>
      </c>
      <c r="D112">
        <v>-2.5683308805318599</v>
      </c>
      <c r="E112">
        <v>1.0421445593129099E-2</v>
      </c>
      <c r="F112">
        <v>-2.3220380312672901</v>
      </c>
      <c r="G112">
        <v>-0.31002378728091901</v>
      </c>
      <c r="H112" t="s">
        <v>16</v>
      </c>
      <c r="I112" t="s">
        <v>25</v>
      </c>
    </row>
    <row r="113" spans="1:9" x14ac:dyDescent="0.25">
      <c r="A113" t="s">
        <v>27</v>
      </c>
      <c r="B113">
        <v>1.05367039629974</v>
      </c>
      <c r="C113">
        <v>9.0336680522262805E-3</v>
      </c>
      <c r="D113">
        <v>116.638157413817</v>
      </c>
      <c r="E113">
        <v>0</v>
      </c>
      <c r="F113">
        <v>1.0359346255128801</v>
      </c>
      <c r="G113">
        <v>1.0714061670866</v>
      </c>
      <c r="H113" t="s">
        <v>16</v>
      </c>
      <c r="I113" t="s">
        <v>25</v>
      </c>
    </row>
    <row r="114" spans="1:9" x14ac:dyDescent="0.25">
      <c r="A114" t="s">
        <v>26</v>
      </c>
      <c r="B114">
        <v>5.84069789600672</v>
      </c>
      <c r="C114">
        <v>0.670900962639431</v>
      </c>
      <c r="D114">
        <v>8.7057527433385804</v>
      </c>
      <c r="E114" s="1">
        <v>2.1084580759227999E-17</v>
      </c>
      <c r="F114">
        <v>4.5235603447728803</v>
      </c>
      <c r="G114">
        <v>7.1578354472405596</v>
      </c>
      <c r="H114" t="s">
        <v>17</v>
      </c>
      <c r="I114" t="s">
        <v>25</v>
      </c>
    </row>
    <row r="115" spans="1:9" x14ac:dyDescent="0.25">
      <c r="A115" t="s">
        <v>27</v>
      </c>
      <c r="B115">
        <v>0.92278907630234097</v>
      </c>
      <c r="C115">
        <v>1.1777233241087801E-2</v>
      </c>
      <c r="D115">
        <v>78.353638533960805</v>
      </c>
      <c r="E115">
        <v>0</v>
      </c>
      <c r="F115">
        <v>0.89966757698230904</v>
      </c>
      <c r="G115">
        <v>0.94591057562237202</v>
      </c>
      <c r="H115" t="s">
        <v>17</v>
      </c>
      <c r="I115" t="s">
        <v>25</v>
      </c>
    </row>
    <row r="116" spans="1:9" x14ac:dyDescent="0.25">
      <c r="A116" t="s">
        <v>26</v>
      </c>
      <c r="B116">
        <v>0.34182315696521298</v>
      </c>
      <c r="C116">
        <v>0.48055883230687002</v>
      </c>
      <c r="D116">
        <v>0.71130345336559198</v>
      </c>
      <c r="E116">
        <v>0.47713181950100803</v>
      </c>
      <c r="F116">
        <v>-0.60167692783745397</v>
      </c>
      <c r="G116">
        <v>1.2853232417678799</v>
      </c>
      <c r="H116" t="s">
        <v>18</v>
      </c>
      <c r="I116" t="s">
        <v>25</v>
      </c>
    </row>
    <row r="117" spans="1:9" x14ac:dyDescent="0.25">
      <c r="A117" t="s">
        <v>27</v>
      </c>
      <c r="B117">
        <v>1.0057474668517301</v>
      </c>
      <c r="C117">
        <v>8.5626819568741207E-3</v>
      </c>
      <c r="D117">
        <v>117.45706215846501</v>
      </c>
      <c r="E117">
        <v>0</v>
      </c>
      <c r="F117">
        <v>0.98893601607957804</v>
      </c>
      <c r="G117">
        <v>1.0225589176238801</v>
      </c>
      <c r="H117" t="s">
        <v>18</v>
      </c>
      <c r="I117" t="s">
        <v>25</v>
      </c>
    </row>
    <row r="118" spans="1:9" x14ac:dyDescent="0.25">
      <c r="A118" t="s">
        <v>26</v>
      </c>
      <c r="B118">
        <v>-2.8765931345161402</v>
      </c>
      <c r="C118">
        <v>0.337845869029816</v>
      </c>
      <c r="D118">
        <v>-8.5145132683634301</v>
      </c>
      <c r="E118" s="1">
        <v>1.06696719158021E-16</v>
      </c>
      <c r="F118">
        <v>-3.53993781896243</v>
      </c>
      <c r="G118">
        <v>-2.2132484500698499</v>
      </c>
      <c r="H118" t="s">
        <v>19</v>
      </c>
      <c r="I118" t="s">
        <v>25</v>
      </c>
    </row>
    <row r="119" spans="1:9" x14ac:dyDescent="0.25">
      <c r="A119" t="s">
        <v>27</v>
      </c>
      <c r="B119">
        <v>1.0546382611599301</v>
      </c>
      <c r="C119">
        <v>6.2826571817778901E-3</v>
      </c>
      <c r="D119">
        <v>167.86500212343</v>
      </c>
      <c r="E119">
        <v>0</v>
      </c>
      <c r="F119">
        <v>1.0423025553610099</v>
      </c>
      <c r="G119">
        <v>1.0669739669588401</v>
      </c>
      <c r="H119" t="s">
        <v>19</v>
      </c>
      <c r="I119" t="s">
        <v>25</v>
      </c>
    </row>
    <row r="120" spans="1:9" x14ac:dyDescent="0.25">
      <c r="A120" t="s">
        <v>26</v>
      </c>
      <c r="B120">
        <v>-2.8598468136555</v>
      </c>
      <c r="C120">
        <v>0.32965096359644303</v>
      </c>
      <c r="D120">
        <v>-8.6753782924065899</v>
      </c>
      <c r="E120" s="1">
        <v>2.8086504131868297E-17</v>
      </c>
      <c r="F120">
        <v>-3.5070572384729402</v>
      </c>
      <c r="G120">
        <v>-2.21263638883805</v>
      </c>
      <c r="H120" t="s">
        <v>20</v>
      </c>
      <c r="I120" t="s">
        <v>25</v>
      </c>
    </row>
    <row r="121" spans="1:9" x14ac:dyDescent="0.25">
      <c r="A121" t="s">
        <v>27</v>
      </c>
      <c r="B121">
        <v>1.0535973312093301</v>
      </c>
      <c r="C121">
        <v>6.6152220992938696E-3</v>
      </c>
      <c r="D121">
        <v>159.26862551172599</v>
      </c>
      <c r="E121">
        <v>0</v>
      </c>
      <c r="F121">
        <v>1.04060953145156</v>
      </c>
      <c r="G121">
        <v>1.0665851309670999</v>
      </c>
      <c r="H121" t="s">
        <v>20</v>
      </c>
      <c r="I1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LinearModelsGauge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jgilbert</dc:creator>
  <cp:lastModifiedBy>jgilbert</cp:lastModifiedBy>
  <dcterms:created xsi:type="dcterms:W3CDTF">2022-12-06T18:04:54Z</dcterms:created>
  <dcterms:modified xsi:type="dcterms:W3CDTF">2022-12-09T17:12:25Z</dcterms:modified>
</cp:coreProperties>
</file>